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CER\OneDrive\Desktop\"/>
    </mc:Choice>
  </mc:AlternateContent>
  <xr:revisionPtr revIDLastSave="0" documentId="13_ncr:1_{9EAFED79-52A4-46F7-9B3E-95239DB134A7}" xr6:coauthVersionLast="47" xr6:coauthVersionMax="47" xr10:uidLastSave="{00000000-0000-0000-0000-000000000000}"/>
  <bookViews>
    <workbookView xWindow="-108" yWindow="-108" windowWidth="23256" windowHeight="13176" firstSheet="1" activeTab="7" xr2:uid="{AF653B0B-B56B-4A13-8BF4-92743A75DA6C}"/>
  </bookViews>
  <sheets>
    <sheet name="Question 1" sheetId="1" r:id="rId1"/>
    <sheet name="Question 2" sheetId="2" r:id="rId2"/>
    <sheet name="Question 3" sheetId="3" r:id="rId3"/>
    <sheet name="Question 4" sheetId="4" r:id="rId4"/>
    <sheet name="Question 5" sheetId="6" r:id="rId5"/>
    <sheet name="Question 6" sheetId="7" r:id="rId6"/>
    <sheet name="Question 7" sheetId="8" r:id="rId7"/>
    <sheet name="Question 8" sheetId="9" r:id="rId8"/>
  </sheets>
  <definedNames>
    <definedName name="_xlchart.v1.0" hidden="1">'Question 2'!$B$6:$B$105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2" i="9" l="1"/>
  <c r="D22" i="9"/>
  <c r="B21" i="9"/>
  <c r="B22" i="9"/>
  <c r="D21" i="9"/>
  <c r="C21" i="9"/>
  <c r="D20" i="9"/>
  <c r="C20" i="9"/>
  <c r="B20" i="9"/>
  <c r="D19" i="9"/>
  <c r="C19" i="9"/>
  <c r="B19" i="9"/>
  <c r="D14" i="9"/>
  <c r="D15" i="9"/>
  <c r="D16" i="9"/>
  <c r="C14" i="9"/>
  <c r="C15" i="9"/>
  <c r="C16" i="9"/>
  <c r="D13" i="9"/>
  <c r="C13" i="9"/>
  <c r="B24" i="8"/>
  <c r="B25" i="8"/>
  <c r="B26" i="8"/>
  <c r="B27" i="8"/>
  <c r="B28" i="8"/>
  <c r="B29" i="8"/>
  <c r="B30" i="8"/>
  <c r="B23" i="8"/>
  <c r="B31" i="8" s="1"/>
  <c r="B18" i="8"/>
  <c r="B17" i="8"/>
  <c r="B11" i="8"/>
  <c r="B12" i="8" s="1"/>
  <c r="I8" i="7"/>
  <c r="I9" i="7"/>
  <c r="I10" i="7"/>
  <c r="I11" i="7"/>
  <c r="I12" i="7"/>
  <c r="I7" i="7"/>
  <c r="H8" i="7"/>
  <c r="H9" i="7"/>
  <c r="H10" i="7"/>
  <c r="H11" i="7"/>
  <c r="H12" i="7"/>
  <c r="H7" i="7"/>
  <c r="C19" i="7"/>
  <c r="C18" i="7"/>
  <c r="C14" i="7"/>
  <c r="D9" i="4"/>
  <c r="D8" i="4"/>
  <c r="D7" i="4"/>
  <c r="D6" i="4"/>
  <c r="E13" i="3"/>
  <c r="E12" i="3"/>
  <c r="E11" i="3"/>
  <c r="E10" i="3"/>
  <c r="E7" i="3"/>
  <c r="E6" i="3"/>
  <c r="E11" i="2"/>
  <c r="E10" i="2"/>
  <c r="E9" i="2"/>
  <c r="E8" i="2"/>
  <c r="B38" i="1"/>
  <c r="E14" i="1"/>
  <c r="E13" i="1"/>
  <c r="B19" i="8" l="1"/>
  <c r="E25" i="8"/>
  <c r="B13" i="8"/>
  <c r="B14" i="8" s="1"/>
  <c r="E26" i="8" s="1"/>
</calcChain>
</file>

<file path=xl/sharedStrings.xml><?xml version="1.0" encoding="utf-8"?>
<sst xmlns="http://schemas.openxmlformats.org/spreadsheetml/2006/main" count="205" uniqueCount="177">
  <si>
    <t>To find the probability of rolling a 3 exactly 5 times in 30 rolls:</t>
  </si>
  <si>
    <t>Roll Number</t>
  </si>
  <si>
    <t>Die Result</t>
  </si>
  <si>
    <t>Count of 3s in simulation</t>
  </si>
  <si>
    <t>Parameter</t>
  </si>
  <si>
    <t>Value</t>
  </si>
  <si>
    <t>Number of trials (n)</t>
  </si>
  <si>
    <t>Number of successes (k)</t>
  </si>
  <si>
    <t>Probability of rolling 3 (p)</t>
  </si>
  <si>
    <t>Probability of exactly 5 threes</t>
  </si>
  <si>
    <t>Probability (as percentage)</t>
  </si>
  <si>
    <t>The theoretical probability of rolling a 3 exactly 5 times in 30 rolls is approximately 0.1921 or 19.21%</t>
  </si>
  <si>
    <t>Serial Number</t>
  </si>
  <si>
    <t>Random Values (Uniform Distribution)</t>
  </si>
  <si>
    <t>Statistic</t>
  </si>
  <si>
    <t>Minimum</t>
  </si>
  <si>
    <t>Maximum</t>
  </si>
  <si>
    <t>Mean</t>
  </si>
  <si>
    <t>Standard Deviation</t>
  </si>
  <si>
    <t>Lower Bound</t>
  </si>
  <si>
    <t>Upper Bound</t>
  </si>
  <si>
    <t>Calculation</t>
  </si>
  <si>
    <t>Result</t>
  </si>
  <si>
    <t>Z-score for lower bound (45)</t>
  </si>
  <si>
    <t>Z-score for upper bound (55)</t>
  </si>
  <si>
    <t>Formula</t>
  </si>
  <si>
    <t>(X-Mean)/Standard Deviation</t>
  </si>
  <si>
    <t>Probability Calculations</t>
  </si>
  <si>
    <t>P(X ≤ 45)</t>
  </si>
  <si>
    <t>P(X ≤ 55)</t>
  </si>
  <si>
    <t>P(45 &lt; X &lt; 55)</t>
  </si>
  <si>
    <t>Percentage between 45 and 55</t>
  </si>
  <si>
    <t>Answer:</t>
  </si>
  <si>
    <t>Approximately 68.27% of values lie between 45 and 55</t>
  </si>
  <si>
    <t>Values</t>
  </si>
  <si>
    <t>Original Value (x)</t>
  </si>
  <si>
    <t>Std Dev</t>
  </si>
  <si>
    <t>Z-score</t>
  </si>
  <si>
    <t>Interpretation</t>
  </si>
  <si>
    <t>1.5 SD above mean</t>
  </si>
  <si>
    <t>1 SD below mean</t>
  </si>
  <si>
    <t>At the mean</t>
  </si>
  <si>
    <t>3 SD above mean (outlier)</t>
  </si>
  <si>
    <t>Formula for Z-score:</t>
  </si>
  <si>
    <t>Z=(X-Mean)/Standard Deviation</t>
  </si>
  <si>
    <t>Concept</t>
  </si>
  <si>
    <t>Definition</t>
  </si>
  <si>
    <t>Kurtosis</t>
  </si>
  <si>
    <t>Measure of tailedness and peakedness of a distribution</t>
  </si>
  <si>
    <t>Type of Kurtosis</t>
  </si>
  <si>
    <t>Kurtosis Value</t>
  </si>
  <si>
    <t>Excess Kurtosis</t>
  </si>
  <si>
    <t>Description</t>
  </si>
  <si>
    <t>Example</t>
  </si>
  <si>
    <t>Mesokurtic</t>
  </si>
  <si>
    <t>Normal distribution, moderate tails</t>
  </si>
  <si>
    <t>Height of adults</t>
  </si>
  <si>
    <t>Leptokurtic</t>
  </si>
  <si>
    <t>&gt;3</t>
  </si>
  <si>
    <t>&gt;0</t>
  </si>
  <si>
    <t>Heavy tails, sharp peak, more outliers</t>
  </si>
  <si>
    <t>Stock returns</t>
  </si>
  <si>
    <t>Platykurtic</t>
  </si>
  <si>
    <t>&lt;3</t>
  </si>
  <si>
    <t>&lt;0</t>
  </si>
  <si>
    <t>Light tails, flat peak, fewer outliers</t>
  </si>
  <si>
    <t>Uniform distribution</t>
  </si>
  <si>
    <t>Kurtosis Type</t>
  </si>
  <si>
    <t>Peak Shape</t>
  </si>
  <si>
    <t>Tail Behavior</t>
  </si>
  <si>
    <t>Outlier Probability</t>
  </si>
  <si>
    <t>Moderate</t>
  </si>
  <si>
    <t>Normal tails</t>
  </si>
  <si>
    <t>Sharp, high peak</t>
  </si>
  <si>
    <t>Heavy, fat tails</t>
  </si>
  <si>
    <t>High (more outliers)</t>
  </si>
  <si>
    <t>Flat, low peak</t>
  </si>
  <si>
    <t>Thin, light tails</t>
  </si>
  <si>
    <t>Low (fewer outliers)</t>
  </si>
  <si>
    <t>Why Uniform Distribution Models a Fair Die</t>
  </si>
  <si>
    <t>Reason</t>
  </si>
  <si>
    <t>Explanation</t>
  </si>
  <si>
    <t>1. Equal Probability</t>
  </si>
  <si>
    <t>Each face (1-6) has probability 1/6 = 16.67%</t>
  </si>
  <si>
    <t>2. No Bias</t>
  </si>
  <si>
    <t>No outcome is favored over another</t>
  </si>
  <si>
    <t>3. Defined Range</t>
  </si>
  <si>
    <t>Clear minimum (1) and maximum (6)</t>
  </si>
  <si>
    <t>4. Independence</t>
  </si>
  <si>
    <t>Each roll is independent of previous rolls</t>
  </si>
  <si>
    <t>5. Discrete Values</t>
  </si>
  <si>
    <t>Only integer outcomes (1, 2, 3, 4, 5, 6)</t>
  </si>
  <si>
    <t>Mathematical Property</t>
  </si>
  <si>
    <t>Value for Fair Die</t>
  </si>
  <si>
    <t>Mean (Expected Value)</t>
  </si>
  <si>
    <t>(1+2+3+4+5+6)/6</t>
  </si>
  <si>
    <t>Minimum Value</t>
  </si>
  <si>
    <t>min(outcomes)</t>
  </si>
  <si>
    <t>Maximum Value</t>
  </si>
  <si>
    <t>max(outcomes)</t>
  </si>
  <si>
    <t>Number of Outcomes</t>
  </si>
  <si>
    <t>n</t>
  </si>
  <si>
    <t>Probability of Each</t>
  </si>
  <si>
    <t>1/n</t>
  </si>
  <si>
    <t>Variance</t>
  </si>
  <si>
    <t>(n²-1)/12</t>
  </si>
  <si>
    <t>Die Face</t>
  </si>
  <si>
    <t>Probability</t>
  </si>
  <si>
    <t>Percentage</t>
  </si>
  <si>
    <t>Symbol</t>
  </si>
  <si>
    <t>Number of trials</t>
  </si>
  <si>
    <t>Success probability</t>
  </si>
  <si>
    <t>p</t>
  </si>
  <si>
    <t>Minimum successes needed</t>
  </si>
  <si>
    <t>k</t>
  </si>
  <si>
    <t>We need to find</t>
  </si>
  <si>
    <t>P(X ≥ 8)</t>
  </si>
  <si>
    <t>Method 1: Using Complement</t>
  </si>
  <si>
    <t>P(X ≤ 7)</t>
  </si>
  <si>
    <t>P(X ≥ 8) = 1 - P(X ≤ 7)</t>
  </si>
  <si>
    <t>Probability (as decimal)</t>
  </si>
  <si>
    <t>Method 2: Direct Cumulative</t>
  </si>
  <si>
    <t>P(X ≤ 15)</t>
  </si>
  <si>
    <t>P(X ≥ 8) = P(X≤15) - P(X≤7)</t>
  </si>
  <si>
    <t>Method 3: Sum of Individual Probabilities</t>
  </si>
  <si>
    <t>X Value</t>
  </si>
  <si>
    <t>P(X = k)</t>
  </si>
  <si>
    <t>Total P(X ≥ 8)</t>
  </si>
  <si>
    <t>FINAL ANSWER</t>
  </si>
  <si>
    <t>The probability of getting at least 8 successes is:</t>
  </si>
  <si>
    <t>Interpretation:</t>
  </si>
  <si>
    <t>With 15 trials and 50% success probability, getting at least 8 successes occurs approximately 50% of the time</t>
  </si>
  <si>
    <t>How Log Transformation Helps in Data Analysis</t>
  </si>
  <si>
    <t>Purpose</t>
  </si>
  <si>
    <t>Stabilize Variance</t>
  </si>
  <si>
    <t>Makes variance more constant across the data range</t>
  </si>
  <si>
    <t>Normalize Distribution</t>
  </si>
  <si>
    <t>Transforms skewed data to approximate normal distribution</t>
  </si>
  <si>
    <t>Example: Original vs Log-Transformed Data</t>
  </si>
  <si>
    <t>Serial No.</t>
  </si>
  <si>
    <t>Original Data</t>
  </si>
  <si>
    <t>Log(Original)</t>
  </si>
  <si>
    <t>Natural Log</t>
  </si>
  <si>
    <t>Log10 Transformed</t>
  </si>
  <si>
    <t>Range</t>
  </si>
  <si>
    <t>Benefit</t>
  </si>
  <si>
    <t>1. Stabilizes Variance</t>
  </si>
  <si>
    <t>Compresses large values more than small values, reducing spread</t>
  </si>
  <si>
    <t>2. Handles Skewness</t>
  </si>
  <si>
    <t>Pulls in the right tail of positively skewed distributions</t>
  </si>
  <si>
    <t>3. Linearizes Relationships</t>
  </si>
  <si>
    <t>Converts exponential patterns to linear patterns</t>
  </si>
  <si>
    <t>4. Reduces Outlier Impact</t>
  </si>
  <si>
    <t>Extreme values have less influence after transformation</t>
  </si>
  <si>
    <t>5. Meets Statistical Assumptions</t>
  </si>
  <si>
    <t>Helps satisfy normality and homoscedasticity assumptions</t>
  </si>
  <si>
    <t>When to Use Log Transformation</t>
  </si>
  <si>
    <t>Situation</t>
  </si>
  <si>
    <t>Should Use Log?</t>
  </si>
  <si>
    <t>Data spans multiple orders of magnitude</t>
  </si>
  <si>
    <t>Yes</t>
  </si>
  <si>
    <t>Positive skewness (right tail)</t>
  </si>
  <si>
    <t>Variance increases with mean</t>
  </si>
  <si>
    <t>Exponential growth pattern</t>
  </si>
  <si>
    <t>Data contains negative or zero values</t>
  </si>
  <si>
    <t>No (use log(x+1) instead)</t>
  </si>
  <si>
    <t>Data is already normally distributed</t>
  </si>
  <si>
    <t>No</t>
  </si>
  <si>
    <t>Types of Data That Benefit from Log Transformation</t>
  </si>
  <si>
    <t>Income/Salary data</t>
  </si>
  <si>
    <t>Population sizes</t>
  </si>
  <si>
    <t>Housing prices</t>
  </si>
  <si>
    <t>Stock prices</t>
  </si>
  <si>
    <t>Bacterial growth</t>
  </si>
  <si>
    <t>Chemical concentrations</t>
  </si>
  <si>
    <t>Website traffic data</t>
  </si>
  <si>
    <t>Reaction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</si>
</sst>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06">
    <xf numFmtId="0" fontId="0" fillId="0" borderId="0" xfId="0"/>
    <xf numFmtId="0" fontId="4" fillId="0" borderId="0" xfId="0" applyFont="1"/>
    <xf numFmtId="0" fontId="6" fillId="0" borderId="0" xfId="0" applyFont="1"/>
    <xf numFmtId="0" fontId="0" fillId="0" borderId="4" xfId="0" applyBorder="1" applyAlignment="1">
      <alignment horizontal="center"/>
    </xf>
    <xf numFmtId="0" fontId="0" fillId="0" borderId="5" xfId="0"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0" fillId="0" borderId="8" xfId="0"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64" fontId="0" fillId="0" borderId="12" xfId="0" applyNumberFormat="1" applyBorder="1" applyAlignment="1">
      <alignment horizontal="center"/>
    </xf>
    <xf numFmtId="0" fontId="0" fillId="0" borderId="13" xfId="0" applyBorder="1" applyAlignment="1">
      <alignment horizontal="center"/>
    </xf>
    <xf numFmtId="10" fontId="0" fillId="0" borderId="14" xfId="1" applyNumberFormat="1" applyFont="1" applyBorder="1" applyAlignment="1">
      <alignment horizontal="center"/>
    </xf>
    <xf numFmtId="0" fontId="2" fillId="0" borderId="11" xfId="0" applyFont="1" applyBorder="1" applyAlignment="1">
      <alignment horizontal="center"/>
    </xf>
    <xf numFmtId="0" fontId="2" fillId="0" borderId="13" xfId="0" applyFont="1" applyBorder="1" applyAlignment="1">
      <alignment horizontal="center"/>
    </xf>
    <xf numFmtId="0" fontId="0" fillId="0" borderId="14" xfId="0" applyBorder="1" applyAlignment="1">
      <alignment horizontal="center"/>
    </xf>
    <xf numFmtId="0" fontId="6" fillId="0" borderId="9" xfId="0" applyFont="1" applyBorder="1"/>
    <xf numFmtId="0" fontId="6" fillId="0" borderId="10" xfId="0" applyFont="1" applyBorder="1"/>
    <xf numFmtId="0" fontId="0" fillId="0" borderId="12" xfId="0" applyBorder="1"/>
    <xf numFmtId="0" fontId="6" fillId="0" borderId="9" xfId="0" applyFont="1" applyBorder="1" applyAlignment="1">
      <alignment horizontal="center"/>
    </xf>
    <xf numFmtId="0" fontId="6" fillId="0" borderId="10" xfId="0" applyFont="1" applyBorder="1" applyAlignment="1">
      <alignment horizontal="center"/>
    </xf>
    <xf numFmtId="0" fontId="5" fillId="3" borderId="2" xfId="0" applyFont="1" applyFill="1" applyBorder="1"/>
    <xf numFmtId="0" fontId="5" fillId="2" borderId="1" xfId="0" applyFont="1" applyFill="1" applyBorder="1"/>
    <xf numFmtId="0" fontId="2" fillId="0" borderId="1" xfId="0" applyFont="1" applyBorder="1" applyAlignment="1">
      <alignment horizontal="center"/>
    </xf>
    <xf numFmtId="0" fontId="6" fillId="0" borderId="11" xfId="0" applyFont="1" applyBorder="1" applyAlignment="1">
      <alignment horizontal="center"/>
    </xf>
    <xf numFmtId="0" fontId="6" fillId="0" borderId="13" xfId="0" applyFont="1" applyBorder="1" applyAlignment="1">
      <alignment horizontal="center"/>
    </xf>
    <xf numFmtId="0" fontId="6" fillId="0" borderId="11" xfId="0" applyFont="1" applyBorder="1"/>
    <xf numFmtId="0" fontId="3" fillId="0" borderId="12" xfId="0" applyFont="1" applyBorder="1"/>
    <xf numFmtId="0" fontId="6" fillId="0" borderId="13" xfId="0" applyFont="1" applyBorder="1"/>
    <xf numFmtId="0" fontId="3" fillId="0" borderId="14" xfId="0" applyFont="1" applyBorder="1"/>
    <xf numFmtId="10" fontId="0" fillId="0" borderId="14" xfId="1" applyNumberFormat="1" applyFont="1" applyBorder="1"/>
    <xf numFmtId="0" fontId="6" fillId="0" borderId="16" xfId="0" applyFont="1" applyBorder="1" applyAlignment="1">
      <alignment horizontal="center"/>
    </xf>
    <xf numFmtId="0" fontId="0" fillId="0" borderId="12" xfId="0" applyFont="1" applyBorder="1" applyAlignment="1">
      <alignment horizontal="center"/>
    </xf>
    <xf numFmtId="0" fontId="0" fillId="0" borderId="17" xfId="0" applyBorder="1" applyAlignment="1">
      <alignment horizontal="center"/>
    </xf>
    <xf numFmtId="0" fontId="6" fillId="0" borderId="1" xfId="0" applyFont="1" applyBorder="1"/>
    <xf numFmtId="0" fontId="0" fillId="0" borderId="0" xfId="0" applyAlignment="1">
      <alignment horizontal="center"/>
    </xf>
    <xf numFmtId="0" fontId="5" fillId="0" borderId="0" xfId="0" applyFont="1" applyAlignment="1"/>
    <xf numFmtId="0" fontId="5" fillId="0" borderId="9" xfId="0" applyFont="1" applyBorder="1" applyAlignment="1">
      <alignment horizontal="center"/>
    </xf>
    <xf numFmtId="0" fontId="5" fillId="0" borderId="16" xfId="0" applyFont="1" applyBorder="1" applyAlignment="1">
      <alignment horizontal="center"/>
    </xf>
    <xf numFmtId="0" fontId="5" fillId="0" borderId="10" xfId="0" applyFont="1" applyBorder="1" applyAlignment="1">
      <alignment horizontal="center"/>
    </xf>
    <xf numFmtId="0" fontId="6" fillId="0" borderId="4" xfId="0" applyFont="1" applyBorder="1"/>
    <xf numFmtId="0" fontId="2" fillId="0" borderId="4" xfId="0" applyFont="1" applyBorder="1"/>
    <xf numFmtId="0" fontId="0" fillId="0" borderId="4" xfId="0" applyFont="1" applyBorder="1"/>
    <xf numFmtId="0" fontId="6" fillId="0" borderId="16" xfId="0" applyFont="1" applyBorder="1"/>
    <xf numFmtId="0" fontId="2" fillId="0" borderId="11" xfId="0" applyFont="1" applyBorder="1"/>
    <xf numFmtId="0" fontId="0" fillId="0" borderId="12" xfId="0" applyFont="1" applyBorder="1"/>
    <xf numFmtId="0" fontId="2" fillId="0" borderId="13" xfId="0" applyFont="1" applyBorder="1"/>
    <xf numFmtId="0" fontId="0" fillId="0" borderId="17" xfId="0" applyFont="1" applyBorder="1"/>
    <xf numFmtId="0" fontId="0" fillId="0" borderId="14" xfId="0" applyFont="1" applyBorder="1"/>
    <xf numFmtId="0" fontId="3" fillId="0" borderId="0" xfId="0" applyFont="1" applyAlignment="1"/>
    <xf numFmtId="0" fontId="5" fillId="0" borderId="9" xfId="0" applyFont="1" applyBorder="1"/>
    <xf numFmtId="0" fontId="0" fillId="0" borderId="4" xfId="0" applyBorder="1" applyAlignment="1">
      <alignment horizontal="center"/>
    </xf>
    <xf numFmtId="0" fontId="2" fillId="0" borderId="4" xfId="0" applyFont="1" applyBorder="1" applyAlignment="1">
      <alignment horizontal="center"/>
    </xf>
    <xf numFmtId="0" fontId="2" fillId="0" borderId="4" xfId="0" applyFont="1" applyBorder="1" applyAlignment="1"/>
    <xf numFmtId="10" fontId="0" fillId="0" borderId="12" xfId="1" applyNumberFormat="1" applyFont="1" applyBorder="1" applyAlignment="1">
      <alignment horizontal="center"/>
    </xf>
    <xf numFmtId="0" fontId="0" fillId="0" borderId="21" xfId="0" applyBorder="1" applyAlignment="1">
      <alignment horizontal="center"/>
    </xf>
    <xf numFmtId="10" fontId="0" fillId="0" borderId="22" xfId="1" applyNumberFormat="1" applyFont="1" applyBorder="1" applyAlignment="1">
      <alignment horizontal="center"/>
    </xf>
    <xf numFmtId="0" fontId="6" fillId="0" borderId="6" xfId="0" applyFont="1" applyBorder="1"/>
    <xf numFmtId="0" fontId="6" fillId="0" borderId="23" xfId="0" applyFont="1" applyBorder="1"/>
    <xf numFmtId="0" fontId="6" fillId="0" borderId="7" xfId="0" applyFont="1" applyBorder="1"/>
    <xf numFmtId="0" fontId="0" fillId="0" borderId="4" xfId="0" applyBorder="1"/>
    <xf numFmtId="0" fontId="0" fillId="0" borderId="5" xfId="0" applyBorder="1"/>
    <xf numFmtId="0" fontId="2" fillId="0" borderId="21" xfId="0" applyFont="1" applyBorder="1"/>
    <xf numFmtId="0" fontId="0" fillId="0" borderId="17" xfId="0" applyBorder="1"/>
    <xf numFmtId="0" fontId="0" fillId="0" borderId="8" xfId="0" applyBorder="1"/>
    <xf numFmtId="0" fontId="2" fillId="0" borderId="2" xfId="0" applyFont="1" applyBorder="1"/>
    <xf numFmtId="0" fontId="2" fillId="0" borderId="3" xfId="0" applyFont="1" applyBorder="1"/>
    <xf numFmtId="9" fontId="0" fillId="0" borderId="4" xfId="1" applyFont="1" applyBorder="1"/>
    <xf numFmtId="0" fontId="0" fillId="0" borderId="6" xfId="0" applyBorder="1" applyAlignment="1">
      <alignment horizontal="center"/>
    </xf>
    <xf numFmtId="0" fontId="0" fillId="0" borderId="7" xfId="0"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9" fontId="0" fillId="0" borderId="0" xfId="0" applyNumberFormat="1" applyAlignment="1">
      <alignment horizontal="center"/>
    </xf>
    <xf numFmtId="0" fontId="6" fillId="0" borderId="15" xfId="0" applyFont="1" applyBorder="1" applyAlignment="1">
      <alignment horizontal="center"/>
    </xf>
    <xf numFmtId="0" fontId="6" fillId="0" borderId="3" xfId="0" applyFont="1" applyBorder="1" applyAlignment="1">
      <alignment horizontal="center"/>
    </xf>
    <xf numFmtId="0" fontId="0" fillId="0" borderId="2" xfId="0" applyBorder="1" applyAlignment="1">
      <alignment horizontal="center"/>
    </xf>
    <xf numFmtId="0" fontId="0" fillId="0" borderId="15" xfId="0" applyBorder="1" applyAlignment="1">
      <alignment horizontal="center"/>
    </xf>
    <xf numFmtId="0" fontId="0" fillId="0" borderId="3" xfId="0" applyBorder="1" applyAlignment="1">
      <alignment horizontal="center"/>
    </xf>
    <xf numFmtId="0" fontId="5" fillId="0" borderId="16" xfId="0" applyFont="1" applyBorder="1" applyAlignment="1">
      <alignment horizontal="center"/>
    </xf>
    <xf numFmtId="0" fontId="5" fillId="0" borderId="10" xfId="0" applyFont="1" applyBorder="1" applyAlignment="1">
      <alignment horizontal="center"/>
    </xf>
    <xf numFmtId="0" fontId="3" fillId="0" borderId="17" xfId="0" applyFont="1" applyBorder="1" applyAlignment="1">
      <alignment horizontal="center"/>
    </xf>
    <xf numFmtId="0" fontId="3" fillId="0" borderId="14" xfId="0" applyFont="1" applyBorder="1" applyAlignment="1">
      <alignment horizontal="center"/>
    </xf>
    <xf numFmtId="0" fontId="0" fillId="0" borderId="17" xfId="0" applyBorder="1" applyAlignment="1">
      <alignment horizontal="center"/>
    </xf>
    <xf numFmtId="0" fontId="0" fillId="0" borderId="14" xfId="0" applyBorder="1" applyAlignment="1">
      <alignment horizontal="center"/>
    </xf>
    <xf numFmtId="0" fontId="6" fillId="0" borderId="23" xfId="0" applyFont="1" applyBorder="1" applyAlignment="1">
      <alignment horizontal="left"/>
    </xf>
    <xf numFmtId="0" fontId="6" fillId="0" borderId="7" xfId="0" applyFont="1" applyBorder="1" applyAlignment="1">
      <alignment horizontal="left"/>
    </xf>
    <xf numFmtId="0" fontId="0" fillId="0" borderId="5" xfId="0" applyBorder="1" applyAlignment="1">
      <alignment horizontal="center"/>
    </xf>
    <xf numFmtId="0" fontId="0" fillId="0" borderId="22"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0" fontId="6" fillId="0" borderId="0" xfId="0" applyFont="1" applyAlignment="1">
      <alignment horizontal="center"/>
    </xf>
    <xf numFmtId="0" fontId="0" fillId="0" borderId="4" xfId="0" applyBorder="1" applyAlignment="1">
      <alignment horizontal="left"/>
    </xf>
    <xf numFmtId="0" fontId="0" fillId="0" borderId="4" xfId="0" applyFont="1" applyBorder="1" applyAlignment="1">
      <alignment horizontal="left"/>
    </xf>
    <xf numFmtId="0" fontId="2" fillId="0" borderId="19" xfId="0" applyFont="1" applyBorder="1" applyAlignment="1">
      <alignment horizontal="center"/>
    </xf>
    <xf numFmtId="0" fontId="2" fillId="0" borderId="18" xfId="0" applyFont="1" applyBorder="1" applyAlignment="1">
      <alignment horizontal="center"/>
    </xf>
    <xf numFmtId="0" fontId="2" fillId="0" borderId="20" xfId="0" applyFont="1" applyBorder="1" applyAlignment="1">
      <alignment horizontal="center"/>
    </xf>
    <xf numFmtId="0" fontId="0" fillId="0" borderId="0" xfId="0" applyAlignment="1">
      <alignment horizontal="left"/>
    </xf>
    <xf numFmtId="0" fontId="0" fillId="0" borderId="4" xfId="0" applyFont="1" applyBorder="1" applyAlignment="1">
      <alignment horizontal="left" vertical="center"/>
    </xf>
    <xf numFmtId="0" fontId="6" fillId="0" borderId="19" xfId="0" applyFont="1" applyBorder="1" applyAlignment="1">
      <alignment horizontal="center"/>
    </xf>
    <xf numFmtId="0" fontId="6" fillId="0" borderId="18" xfId="0" applyFont="1" applyBorder="1" applyAlignment="1">
      <alignment horizontal="center"/>
    </xf>
    <xf numFmtId="0" fontId="6" fillId="0" borderId="20" xfId="0" applyFont="1" applyBorder="1" applyAlignment="1">
      <alignment horizontal="center"/>
    </xf>
    <xf numFmtId="0" fontId="0" fillId="0" borderId="19" xfId="0" applyBorder="1" applyAlignment="1">
      <alignment horizontal="left"/>
    </xf>
    <xf numFmtId="0" fontId="0" fillId="0" borderId="18" xfId="0" applyBorder="1" applyAlignment="1">
      <alignment horizontal="left"/>
    </xf>
    <xf numFmtId="0" fontId="0" fillId="0" borderId="20" xfId="0"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a:t>Histogram of Uniform Distribution</a:t>
            </a:r>
            <a:endParaRPr lang="en-US" sz="1800" b="1" i="0" u="none" strike="noStrike" baseline="0">
              <a:solidFill>
                <a:sysClr val="windowText" lastClr="000000">
                  <a:lumMod val="75000"/>
                  <a:lumOff val="25000"/>
                </a:sysClr>
              </a:solidFill>
              <a:latin typeface="Calibri" panose="020F0502020204030204"/>
            </a:endParaRPr>
          </a:p>
        </cx:rich>
      </cx:tx>
    </cx:title>
    <cx:plotArea>
      <cx:plotAreaRegion>
        <cx:series layoutId="clusteredColumn" uniqueId="{5D536B3B-04E0-4163-AFAE-36814D43A626}">
          <cx:dataLabels>
            <cx:visibility seriesName="0" categoryName="0" value="1"/>
          </cx:dataLabels>
          <cx:dataId val="0"/>
          <cx:layoutPr>
            <cx:binning intervalClosed="r"/>
          </cx:layoutPr>
        </cx:series>
      </cx:plotAreaRegion>
      <cx:axis id="0" hidden="1">
        <cx:catScaling gapWidth="0"/>
        <cx:tickLabels/>
      </cx:axis>
      <cx:axis id="1">
        <cx:valScaling/>
        <cx:tickLabels/>
      </cx:axis>
    </cx:plotArea>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480060</xdr:colOff>
      <xdr:row>3</xdr:row>
      <xdr:rowOff>60960</xdr:rowOff>
    </xdr:to>
    <xdr:sp macro="" textlink="">
      <xdr:nvSpPr>
        <xdr:cNvPr id="2" name="TextBox 1">
          <a:extLst>
            <a:ext uri="{FF2B5EF4-FFF2-40B4-BE49-F238E27FC236}">
              <a16:creationId xmlns:a16="http://schemas.microsoft.com/office/drawing/2014/main" id="{9DE76986-A0D4-8EC7-E357-6EDE5A641B69}"/>
            </a:ext>
          </a:extLst>
        </xdr:cNvPr>
        <xdr:cNvSpPr txBox="1"/>
      </xdr:nvSpPr>
      <xdr:spPr>
        <a:xfrm>
          <a:off x="0" y="0"/>
          <a:ext cx="7185660" cy="609600"/>
        </a:xfrm>
        <a:prstGeom prst="rect">
          <a:avLst/>
        </a:prstGeom>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35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Question 1:</a:t>
          </a:r>
          <a:r>
            <a:rPr lang="en-US" sz="1600" baseline="0"/>
            <a:t> </a:t>
          </a:r>
          <a:r>
            <a:rPr lang="en-US" sz="1600"/>
            <a:t>Simulate 30 rolls with =RANDBETWEEN(1,6). What is the probability of rolling a 3 exactly 5 times? (Hint: Use BINOM.DIST)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396240</xdr:colOff>
      <xdr:row>3</xdr:row>
      <xdr:rowOff>60960</xdr:rowOff>
    </xdr:to>
    <xdr:sp macro="" textlink="">
      <xdr:nvSpPr>
        <xdr:cNvPr id="2" name="TextBox 1">
          <a:extLst>
            <a:ext uri="{FF2B5EF4-FFF2-40B4-BE49-F238E27FC236}">
              <a16:creationId xmlns:a16="http://schemas.microsoft.com/office/drawing/2014/main" id="{326F08C9-DA85-43C6-8419-607DAC7F76F0}"/>
            </a:ext>
          </a:extLst>
        </xdr:cNvPr>
        <xdr:cNvSpPr txBox="1"/>
      </xdr:nvSpPr>
      <xdr:spPr>
        <a:xfrm>
          <a:off x="0" y="0"/>
          <a:ext cx="9540240" cy="609600"/>
        </a:xfrm>
        <a:prstGeom prst="rect">
          <a:avLst/>
        </a:prstGeom>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35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Question 2:</a:t>
          </a:r>
          <a:r>
            <a:rPr lang="en-US" sz="1600" baseline="0"/>
            <a:t> </a:t>
          </a:r>
          <a:r>
            <a:rPr lang="en-US" sz="1600"/>
            <a:t>Generate 100 values in Excel using the continuous uniform distribution RAND() and plot a histogram. Describe the shape of the distribution.</a:t>
          </a:r>
        </a:p>
      </xdr:txBody>
    </xdr:sp>
    <xdr:clientData/>
  </xdr:twoCellAnchor>
  <xdr:twoCellAnchor>
    <xdr:from>
      <xdr:col>3</xdr:col>
      <xdr:colOff>0</xdr:colOff>
      <xdr:row>12</xdr:row>
      <xdr:rowOff>3810</xdr:rowOff>
    </xdr:from>
    <xdr:to>
      <xdr:col>9</xdr:col>
      <xdr:colOff>388620</xdr:colOff>
      <xdr:row>27</xdr:row>
      <xdr:rowOff>3810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DE8E3EE-A9C9-AEA1-5CFD-47BD1EB941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68140" y="22364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7620</xdr:colOff>
      <xdr:row>27</xdr:row>
      <xdr:rowOff>175260</xdr:rowOff>
    </xdr:from>
    <xdr:to>
      <xdr:col>12</xdr:col>
      <xdr:colOff>601980</xdr:colOff>
      <xdr:row>42</xdr:row>
      <xdr:rowOff>175260</xdr:rowOff>
    </xdr:to>
    <xdr:sp macro="" textlink="">
      <xdr:nvSpPr>
        <xdr:cNvPr id="4" name="TextBox 3">
          <a:extLst>
            <a:ext uri="{FF2B5EF4-FFF2-40B4-BE49-F238E27FC236}">
              <a16:creationId xmlns:a16="http://schemas.microsoft.com/office/drawing/2014/main" id="{E8E5A3AC-4C9E-730D-41D0-3DB3A1249D55}"/>
            </a:ext>
          </a:extLst>
        </xdr:cNvPr>
        <xdr:cNvSpPr txBox="1"/>
      </xdr:nvSpPr>
      <xdr:spPr>
        <a:xfrm>
          <a:off x="4175760" y="5151120"/>
          <a:ext cx="6606540" cy="2743200"/>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path path="circle">
            <a:fillToRect l="100000" b="100000"/>
          </a:path>
          <a:tileRect t="-100000" r="-100000"/>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Shape of the Distribution:</a:t>
          </a:r>
        </a:p>
        <a:p>
          <a:endParaRPr lang="en-US" sz="1400"/>
        </a:p>
        <a:p>
          <a:r>
            <a:rPr lang="en-US" sz="1400"/>
            <a:t>The histogram displays a rectangular or flat shape, which is the defining characteristic of a uniform distribution. The bars show approximately equal frequencies across all intervals, indicating that each value between 0 and 1 has an equal probability of occurring. There is no central peak, no skewness, and no concentration of values in any particular region. The distribution maintains a relatively constant height across the entire range from 0 to 1, though minor variations exist due to random sampling with only 100 observations. This flat, even distribution confirms that the RAND() function generates uniformly distributed random values where every outcome within the range is equally likely. The mean should be close to 0.5, and the distribution should be symmetric around this center point.</a:t>
          </a:r>
        </a:p>
        <a:p>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320040</xdr:colOff>
      <xdr:row>3</xdr:row>
      <xdr:rowOff>60960</xdr:rowOff>
    </xdr:to>
    <xdr:sp macro="" textlink="">
      <xdr:nvSpPr>
        <xdr:cNvPr id="2" name="TextBox 1">
          <a:extLst>
            <a:ext uri="{FF2B5EF4-FFF2-40B4-BE49-F238E27FC236}">
              <a16:creationId xmlns:a16="http://schemas.microsoft.com/office/drawing/2014/main" id="{F98966F4-8BE6-4D26-9DBA-E75865B9CED7}"/>
            </a:ext>
          </a:extLst>
        </xdr:cNvPr>
        <xdr:cNvSpPr txBox="1"/>
      </xdr:nvSpPr>
      <xdr:spPr>
        <a:xfrm>
          <a:off x="0" y="0"/>
          <a:ext cx="11986260" cy="609600"/>
        </a:xfrm>
        <a:prstGeom prst="rect">
          <a:avLst/>
        </a:prstGeom>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35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Question 3:</a:t>
          </a:r>
          <a:r>
            <a:rPr lang="en-US" sz="1600" baseline="0"/>
            <a:t> </a:t>
          </a:r>
          <a:r>
            <a:rPr lang="en-US" sz="1600"/>
            <a:t>A dataset has a mean of 50 and a standard deviation of 5. What percentage of values lie between 45 and 55 if the data follows a normal distribution?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548640</xdr:colOff>
      <xdr:row>3</xdr:row>
      <xdr:rowOff>60960</xdr:rowOff>
    </xdr:to>
    <xdr:sp macro="" textlink="">
      <xdr:nvSpPr>
        <xdr:cNvPr id="2" name="TextBox 1">
          <a:extLst>
            <a:ext uri="{FF2B5EF4-FFF2-40B4-BE49-F238E27FC236}">
              <a16:creationId xmlns:a16="http://schemas.microsoft.com/office/drawing/2014/main" id="{DF3F4144-E8A0-4555-977C-A829BF3AE344}"/>
            </a:ext>
          </a:extLst>
        </xdr:cNvPr>
        <xdr:cNvSpPr txBox="1"/>
      </xdr:nvSpPr>
      <xdr:spPr>
        <a:xfrm>
          <a:off x="0" y="0"/>
          <a:ext cx="12131040" cy="609600"/>
        </a:xfrm>
        <a:prstGeom prst="rect">
          <a:avLst/>
        </a:prstGeom>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35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Question 4:</a:t>
          </a:r>
          <a:r>
            <a:rPr lang="en-US" sz="1600" baseline="0"/>
            <a:t> </a:t>
          </a:r>
          <a:r>
            <a:rPr lang="en-US" sz="1600"/>
            <a:t>What is the concept of standardization (z-score), and why is it important in data analysis? Explain the formula and how standardization transforms a dataset.</a:t>
          </a:r>
        </a:p>
      </xdr:txBody>
    </xdr:sp>
    <xdr:clientData/>
  </xdr:twoCellAnchor>
  <xdr:twoCellAnchor>
    <xdr:from>
      <xdr:col>0</xdr:col>
      <xdr:colOff>7620</xdr:colOff>
      <xdr:row>11</xdr:row>
      <xdr:rowOff>152400</xdr:rowOff>
    </xdr:from>
    <xdr:to>
      <xdr:col>5</xdr:col>
      <xdr:colOff>228600</xdr:colOff>
      <xdr:row>18</xdr:row>
      <xdr:rowOff>129540</xdr:rowOff>
    </xdr:to>
    <xdr:sp macro="" textlink="">
      <xdr:nvSpPr>
        <xdr:cNvPr id="3" name="TextBox 2">
          <a:extLst>
            <a:ext uri="{FF2B5EF4-FFF2-40B4-BE49-F238E27FC236}">
              <a16:creationId xmlns:a16="http://schemas.microsoft.com/office/drawing/2014/main" id="{437F6DFA-A23C-D1FE-5423-5C0D1C70D725}"/>
            </a:ext>
          </a:extLst>
        </xdr:cNvPr>
        <xdr:cNvSpPr txBox="1"/>
      </xdr:nvSpPr>
      <xdr:spPr>
        <a:xfrm>
          <a:off x="7620" y="2225040"/>
          <a:ext cx="4945380" cy="1257300"/>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Concept of Standardization (Z-score):</a:t>
          </a:r>
          <a:endParaRPr lang="en-US" sz="1200"/>
        </a:p>
        <a:p>
          <a:r>
            <a:rPr lang="en-US" sz="1200"/>
            <a:t>Standardization, also known as z-score transformation, is a statistical technique that converts data from its original scale to a standardized scale with a mean of 0 and a standard deviation of 1. This transformation allows for meaningful comparison between different datasets and variables that may be measured in different units or have different scales.</a:t>
          </a:r>
        </a:p>
        <a:p>
          <a:endParaRPr lang="en-US" sz="1100"/>
        </a:p>
      </xdr:txBody>
    </xdr:sp>
    <xdr:clientData/>
  </xdr:twoCellAnchor>
  <xdr:twoCellAnchor>
    <xdr:from>
      <xdr:col>0</xdr:col>
      <xdr:colOff>0</xdr:colOff>
      <xdr:row>19</xdr:row>
      <xdr:rowOff>106680</xdr:rowOff>
    </xdr:from>
    <xdr:to>
      <xdr:col>11</xdr:col>
      <xdr:colOff>434340</xdr:colOff>
      <xdr:row>34</xdr:row>
      <xdr:rowOff>129540</xdr:rowOff>
    </xdr:to>
    <xdr:sp macro="" textlink="">
      <xdr:nvSpPr>
        <xdr:cNvPr id="4" name="TextBox 3">
          <a:extLst>
            <a:ext uri="{FF2B5EF4-FFF2-40B4-BE49-F238E27FC236}">
              <a16:creationId xmlns:a16="http://schemas.microsoft.com/office/drawing/2014/main" id="{61B9CCEA-3F7B-A8D4-2AF2-104BD5A26308}"/>
            </a:ext>
          </a:extLst>
        </xdr:cNvPr>
        <xdr:cNvSpPr txBox="1"/>
      </xdr:nvSpPr>
      <xdr:spPr>
        <a:xfrm>
          <a:off x="0" y="3642360"/>
          <a:ext cx="8816340" cy="2766060"/>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Why Standardization is Important in Data Analysis:</a:t>
          </a:r>
          <a:endParaRPr lang="en-US" sz="1400"/>
        </a:p>
        <a:p>
          <a:r>
            <a:rPr lang="en-US" sz="1400" b="1"/>
            <a:t>Enables Fair Comparison:</a:t>
          </a:r>
          <a:r>
            <a:rPr lang="en-US" sz="1400"/>
            <a:t> Allows comparison of values from different distributions with different units (e.g., comparing test scores with different grading scales, or comparing height in centimeters with weight in kilograms).</a:t>
          </a:r>
        </a:p>
        <a:p>
          <a:r>
            <a:rPr lang="en-US" sz="1400" b="1"/>
            <a:t>Identifies Outliers:</a:t>
          </a:r>
          <a:r>
            <a:rPr lang="en-US" sz="1400"/>
            <a:t> Values with z-scores beyond ±2 or ±3 are typically considered unusual or outliers, making it easy to identify extreme values that may require special attention.</a:t>
          </a:r>
        </a:p>
        <a:p>
          <a:r>
            <a:rPr lang="en-US" sz="1400" b="1"/>
            <a:t>Removes Scale Effects:</a:t>
          </a:r>
          <a:r>
            <a:rPr lang="en-US" sz="1400"/>
            <a:t> Eliminates the influence of different measurement units and scales, making variables directly comparable.</a:t>
          </a:r>
        </a:p>
        <a:p>
          <a:r>
            <a:rPr lang="en-US" sz="1400" b="1"/>
            <a:t>Facilitates Probability Calculations:</a:t>
          </a:r>
          <a:r>
            <a:rPr lang="en-US" sz="1400"/>
            <a:t> Standardized values can be used with standard normal distribution tables (z-tables) to calculate probabilities.</a:t>
          </a:r>
        </a:p>
        <a:p>
          <a:r>
            <a:rPr lang="en-US" sz="1400" b="1"/>
            <a:t>Required for Many Statistical Methods:</a:t>
          </a:r>
          <a:r>
            <a:rPr lang="en-US" sz="1400"/>
            <a:t> Many statistical techniques, such as Principal Component Analysis (PCA), assume standardized data.</a:t>
          </a:r>
        </a:p>
        <a:p>
          <a:r>
            <a:rPr lang="en-US" sz="1400" b="1"/>
            <a:t>Improves Machine Learning Models:</a:t>
          </a:r>
          <a:r>
            <a:rPr lang="en-US" sz="1400"/>
            <a:t> Many machine learning algorithms perform better with standardized features.</a:t>
          </a:r>
        </a:p>
        <a:p>
          <a:endParaRPr lang="en-US" sz="1200"/>
        </a:p>
      </xdr:txBody>
    </xdr:sp>
    <xdr:clientData/>
  </xdr:twoCellAnchor>
  <xdr:twoCellAnchor>
    <xdr:from>
      <xdr:col>0</xdr:col>
      <xdr:colOff>0</xdr:colOff>
      <xdr:row>35</xdr:row>
      <xdr:rowOff>68580</xdr:rowOff>
    </xdr:from>
    <xdr:to>
      <xdr:col>13</xdr:col>
      <xdr:colOff>220980</xdr:colOff>
      <xdr:row>58</xdr:row>
      <xdr:rowOff>114300</xdr:rowOff>
    </xdr:to>
    <xdr:sp macro="" textlink="">
      <xdr:nvSpPr>
        <xdr:cNvPr id="5" name="TextBox 4">
          <a:extLst>
            <a:ext uri="{FF2B5EF4-FFF2-40B4-BE49-F238E27FC236}">
              <a16:creationId xmlns:a16="http://schemas.microsoft.com/office/drawing/2014/main" id="{3A054C93-ACBF-8B3A-5FC3-0D9CD81B7D23}"/>
            </a:ext>
          </a:extLst>
        </xdr:cNvPr>
        <xdr:cNvSpPr txBox="1"/>
      </xdr:nvSpPr>
      <xdr:spPr>
        <a:xfrm>
          <a:off x="0" y="6530340"/>
          <a:ext cx="9822180" cy="4251960"/>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89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How Standardization Transforms a Dataset:</a:t>
          </a:r>
          <a:endParaRPr lang="en-US" sz="1400"/>
        </a:p>
        <a:p>
          <a:r>
            <a:rPr lang="en-US" sz="1400" b="1"/>
            <a:t>Before Transformation:</a:t>
          </a:r>
          <a:endParaRPr lang="en-US" sz="1400"/>
        </a:p>
        <a:p>
          <a:r>
            <a:rPr lang="en-US" sz="1400"/>
            <a:t>Each variable has its own mean and standard deviation</a:t>
          </a:r>
        </a:p>
        <a:p>
          <a:r>
            <a:rPr lang="en-US" sz="1400"/>
            <a:t>Different variables may have vastly different scales</a:t>
          </a:r>
        </a:p>
        <a:p>
          <a:r>
            <a:rPr lang="en-US" sz="1400"/>
            <a:t>Cannot directly compare values across variables</a:t>
          </a:r>
        </a:p>
        <a:p>
          <a:r>
            <a:rPr lang="en-US" sz="1400" b="1"/>
            <a:t>After Transformation:</a:t>
          </a:r>
          <a:endParaRPr lang="en-US" sz="1400"/>
        </a:p>
        <a:p>
          <a:r>
            <a:rPr lang="en-US" sz="1400"/>
            <a:t>All variables have mean = 0 and standard deviation = 1</a:t>
          </a:r>
        </a:p>
        <a:p>
          <a:r>
            <a:rPr lang="en-US" sz="1400"/>
            <a:t>All variables are on the same scale</a:t>
          </a:r>
        </a:p>
        <a:p>
          <a:r>
            <a:rPr lang="en-US" sz="1400"/>
            <a:t>Can directly compare values across variables</a:t>
          </a:r>
        </a:p>
        <a:p>
          <a:r>
            <a:rPr lang="en-US" sz="1400"/>
            <a:t>The shape of the distribution remains unchanged</a:t>
          </a:r>
        </a:p>
        <a:p>
          <a:r>
            <a:rPr lang="en-US" sz="1400"/>
            <a:t>Only the location (mean) and scale (standard deviation) change</a:t>
          </a:r>
        </a:p>
        <a:p>
          <a:r>
            <a:rPr lang="en-US" sz="1400" b="1"/>
            <a:t>Interpretation of Z-scores:</a:t>
          </a:r>
          <a:endParaRPr lang="en-US" sz="1400"/>
        </a:p>
        <a:p>
          <a:r>
            <a:rPr lang="en-US" sz="1400"/>
            <a:t>z = 0: Value is exactly at the mean</a:t>
          </a:r>
        </a:p>
        <a:p>
          <a:r>
            <a:rPr lang="en-US" sz="1400"/>
            <a:t>z = 1: Value is 1 standard deviation above the mean</a:t>
          </a:r>
        </a:p>
        <a:p>
          <a:r>
            <a:rPr lang="en-US" sz="1400"/>
            <a:t>z = -1: Value is 1 standard deviation below the mean</a:t>
          </a:r>
        </a:p>
        <a:p>
          <a:r>
            <a:rPr lang="en-US" sz="1400"/>
            <a:t>z = 2: Value is 2 standard deviations above the mean</a:t>
          </a:r>
        </a:p>
        <a:p>
          <a:r>
            <a:rPr lang="en-US" sz="1400"/>
            <a:t>|z| &gt; 3: Value is likely an outlier</a:t>
          </a:r>
        </a:p>
        <a:p>
          <a:r>
            <a:rPr lang="en-US" sz="1400" b="1"/>
            <a:t>Example:</a:t>
          </a:r>
          <a:r>
            <a:rPr lang="en-US" sz="1400"/>
            <a:t> A student scores 85 on a test where the class mean is 70 and standard deviation is 10. The z-score is (85-70)/10 = 1.5, meaning the student scored 1.5 standard deviations above the class average.</a:t>
          </a:r>
        </a:p>
        <a:p>
          <a:endParaRPr lang="en-US" sz="1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381000</xdr:colOff>
      <xdr:row>2</xdr:row>
      <xdr:rowOff>0</xdr:rowOff>
    </xdr:to>
    <xdr:sp macro="" textlink="">
      <xdr:nvSpPr>
        <xdr:cNvPr id="2" name="TextBox 1">
          <a:extLst>
            <a:ext uri="{FF2B5EF4-FFF2-40B4-BE49-F238E27FC236}">
              <a16:creationId xmlns:a16="http://schemas.microsoft.com/office/drawing/2014/main" id="{3107DF2A-432D-404B-80C3-791A4EF90B2F}"/>
            </a:ext>
          </a:extLst>
        </xdr:cNvPr>
        <xdr:cNvSpPr txBox="1"/>
      </xdr:nvSpPr>
      <xdr:spPr>
        <a:xfrm>
          <a:off x="0" y="0"/>
          <a:ext cx="3924300" cy="365760"/>
        </a:xfrm>
        <a:prstGeom prst="rect">
          <a:avLst/>
        </a:prstGeom>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35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Question 5:</a:t>
          </a:r>
          <a:r>
            <a:rPr lang="en-US" sz="1600" baseline="0"/>
            <a:t> </a:t>
          </a:r>
          <a:r>
            <a:rPr lang="en-US" sz="1600"/>
            <a:t>What is Kurtosis and their type?</a:t>
          </a:r>
        </a:p>
      </xdr:txBody>
    </xdr:sp>
    <xdr:clientData/>
  </xdr:twoCellAnchor>
  <xdr:twoCellAnchor>
    <xdr:from>
      <xdr:col>0</xdr:col>
      <xdr:colOff>0</xdr:colOff>
      <xdr:row>15</xdr:row>
      <xdr:rowOff>114300</xdr:rowOff>
    </xdr:from>
    <xdr:to>
      <xdr:col>4</xdr:col>
      <xdr:colOff>883920</xdr:colOff>
      <xdr:row>23</xdr:row>
      <xdr:rowOff>45720</xdr:rowOff>
    </xdr:to>
    <xdr:sp macro="" textlink="">
      <xdr:nvSpPr>
        <xdr:cNvPr id="3" name="TextBox 2">
          <a:extLst>
            <a:ext uri="{FF2B5EF4-FFF2-40B4-BE49-F238E27FC236}">
              <a16:creationId xmlns:a16="http://schemas.microsoft.com/office/drawing/2014/main" id="{01922DA7-3E4E-2149-45D6-6A690C5812B9}"/>
            </a:ext>
          </a:extLst>
        </xdr:cNvPr>
        <xdr:cNvSpPr txBox="1"/>
      </xdr:nvSpPr>
      <xdr:spPr>
        <a:xfrm>
          <a:off x="0" y="3025140"/>
          <a:ext cx="6606540" cy="1394460"/>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What is Kurtosis?</a:t>
          </a:r>
        </a:p>
        <a:p>
          <a:endParaRPr lang="en-US" sz="100"/>
        </a:p>
        <a:p>
          <a:r>
            <a:rPr lang="en-US" sz="1600"/>
            <a:t>Kurtosis is a statistical measure that describes the shape of a probability distribution, specifically focusing on the concentration of data in the tails relative to the center. It indicates how much of the data lies in the extreme tails versus the middle of the distribution compared to a normal distribution.</a:t>
          </a:r>
        </a:p>
        <a:p>
          <a:endParaRPr lang="en-US" sz="1100"/>
        </a:p>
      </xdr:txBody>
    </xdr:sp>
    <xdr:clientData/>
  </xdr:twoCellAnchor>
  <xdr:twoCellAnchor>
    <xdr:from>
      <xdr:col>6</xdr:col>
      <xdr:colOff>0</xdr:colOff>
      <xdr:row>0</xdr:row>
      <xdr:rowOff>0</xdr:rowOff>
    </xdr:from>
    <xdr:to>
      <xdr:col>17</xdr:col>
      <xdr:colOff>121920</xdr:colOff>
      <xdr:row>45</xdr:row>
      <xdr:rowOff>106680</xdr:rowOff>
    </xdr:to>
    <xdr:sp macro="" textlink="">
      <xdr:nvSpPr>
        <xdr:cNvPr id="4" name="TextBox 3">
          <a:extLst>
            <a:ext uri="{FF2B5EF4-FFF2-40B4-BE49-F238E27FC236}">
              <a16:creationId xmlns:a16="http://schemas.microsoft.com/office/drawing/2014/main" id="{204E32A8-A8DB-9BBE-50BB-54DF357572D7}"/>
            </a:ext>
          </a:extLst>
        </xdr:cNvPr>
        <xdr:cNvSpPr txBox="1"/>
      </xdr:nvSpPr>
      <xdr:spPr>
        <a:xfrm>
          <a:off x="7543800" y="0"/>
          <a:ext cx="6827520" cy="8503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Types of Kurtosis:</a:t>
          </a:r>
          <a:endParaRPr lang="en-US"/>
        </a:p>
        <a:p>
          <a:r>
            <a:rPr lang="en-US" b="1"/>
            <a:t>1. Mesokurtic (Kurtosis = 3, Excess Kurtosis = 0)</a:t>
          </a:r>
          <a:endParaRPr lang="en-US"/>
        </a:p>
        <a:p>
          <a:r>
            <a:rPr lang="en-US" b="1"/>
            <a:t>Characteristics:</a:t>
          </a:r>
          <a:endParaRPr lang="en-US"/>
        </a:p>
        <a:p>
          <a:r>
            <a:rPr lang="en-US"/>
            <a:t>Has the same tailedness as a normal distribution</a:t>
          </a:r>
        </a:p>
        <a:p>
          <a:r>
            <a:rPr lang="en-US"/>
            <a:t>Moderate peak in the center</a:t>
          </a:r>
        </a:p>
        <a:p>
          <a:r>
            <a:rPr lang="en-US"/>
            <a:t>Balanced distribution of values</a:t>
          </a:r>
        </a:p>
        <a:p>
          <a:r>
            <a:rPr lang="en-US"/>
            <a:t>Standard reference point for comparison</a:t>
          </a:r>
        </a:p>
        <a:p>
          <a:r>
            <a:rPr lang="en-US" b="1"/>
            <a:t>Description:</a:t>
          </a:r>
          <a:r>
            <a:rPr lang="en-US"/>
            <a:t> This represents the normal distribution shape with moderate tails and a moderate peak. The probability of extreme values is similar to what we expect in a normal distribution.</a:t>
          </a:r>
        </a:p>
        <a:p>
          <a:r>
            <a:rPr lang="en-US" b="1"/>
            <a:t>Example:</a:t>
          </a:r>
          <a:r>
            <a:rPr lang="en-US"/>
            <a:t> Heights of adult humans, IQ scores, measurement errors in well-controlled experiments.</a:t>
          </a:r>
        </a:p>
        <a:p>
          <a:r>
            <a:rPr lang="en-US" b="1"/>
            <a:t>2. Leptokurtic (Kurtosis &gt; 3, Excess Kurtosis &gt; 0)</a:t>
          </a:r>
          <a:endParaRPr lang="en-US"/>
        </a:p>
        <a:p>
          <a:r>
            <a:rPr lang="en-US" b="1"/>
            <a:t>Characteristics:</a:t>
          </a:r>
          <a:endParaRPr lang="en-US"/>
        </a:p>
        <a:p>
          <a:r>
            <a:rPr lang="en-US"/>
            <a:t>Heavy tails with more data in the extremes</a:t>
          </a:r>
        </a:p>
        <a:p>
          <a:r>
            <a:rPr lang="en-US"/>
            <a:t>Sharp, pointed peak in the center</a:t>
          </a:r>
        </a:p>
        <a:p>
          <a:r>
            <a:rPr lang="en-US"/>
            <a:t>Higher concentration of values near the mean</a:t>
          </a:r>
        </a:p>
        <a:p>
          <a:r>
            <a:rPr lang="en-US"/>
            <a:t>More outliers than normal distribution</a:t>
          </a:r>
        </a:p>
        <a:p>
          <a:r>
            <a:rPr lang="en-US"/>
            <a:t>Higher risk of extreme events</a:t>
          </a:r>
        </a:p>
        <a:p>
          <a:r>
            <a:rPr lang="en-US" b="1"/>
            <a:t>Description:</a:t>
          </a:r>
          <a:r>
            <a:rPr lang="en-US"/>
            <a:t> This distribution has "fatter" tails, meaning there is a higher probability of extreme values (both very high and very low) occurring. The peak is also sharper than the normal distribution.</a:t>
          </a:r>
        </a:p>
        <a:p>
          <a:r>
            <a:rPr lang="en-US" b="1"/>
            <a:t>Example:</a:t>
          </a:r>
          <a:r>
            <a:rPr lang="en-US"/>
            <a:t> Stock market returns, financial asset prices, natural disasters frequency, epidemiological data during outbreaks.</a:t>
          </a:r>
        </a:p>
        <a:p>
          <a:r>
            <a:rPr lang="en-US" b="1"/>
            <a:t>Importance:</a:t>
          </a:r>
          <a:r>
            <a:rPr lang="en-US"/>
            <a:t> In finance, leptokurtic distributions indicate higher risk because extreme events (crashes or booms) are more likely than a normal distribution would predict.</a:t>
          </a:r>
        </a:p>
        <a:p>
          <a:r>
            <a:rPr lang="en-US" b="1"/>
            <a:t>3. Platykurtic (Kurtosis &lt; 3, Excess Kurtosis &lt; 0)</a:t>
          </a:r>
          <a:endParaRPr lang="en-US"/>
        </a:p>
        <a:p>
          <a:r>
            <a:rPr lang="en-US" b="1"/>
            <a:t>Characteristics:</a:t>
          </a:r>
          <a:endParaRPr lang="en-US"/>
        </a:p>
        <a:p>
          <a:r>
            <a:rPr lang="en-US"/>
            <a:t>Light tails with less data in the extremes</a:t>
          </a:r>
        </a:p>
        <a:p>
          <a:r>
            <a:rPr lang="en-US"/>
            <a:t>Flat, spread-out peak</a:t>
          </a:r>
        </a:p>
        <a:p>
          <a:r>
            <a:rPr lang="en-US"/>
            <a:t>More uniform distribution of values</a:t>
          </a:r>
        </a:p>
        <a:p>
          <a:r>
            <a:rPr lang="en-US"/>
            <a:t>Fewer outliers than normal distribution</a:t>
          </a:r>
        </a:p>
        <a:p>
          <a:r>
            <a:rPr lang="en-US"/>
            <a:t>Lower probability of extreme events</a:t>
          </a:r>
        </a:p>
        <a:p>
          <a:r>
            <a:rPr lang="en-US" b="1"/>
            <a:t>Description:</a:t>
          </a:r>
          <a:r>
            <a:rPr lang="en-US"/>
            <a:t> This distribution has "thinner" tails, meaning extreme values are less likely to occur. The distribution is flatter and more spread out than the normal distribution.</a:t>
          </a:r>
        </a:p>
        <a:p>
          <a:r>
            <a:rPr lang="en-US" b="1"/>
            <a:t>Example:</a:t>
          </a:r>
          <a:r>
            <a:rPr lang="en-US"/>
            <a:t> Uniform distribution, roll of a die outcomes, some manufacturing quality control measurements.</a:t>
          </a:r>
        </a:p>
        <a:p>
          <a:r>
            <a:rPr lang="en-US" b="1"/>
            <a:t>Importance:</a:t>
          </a:r>
          <a:r>
            <a:rPr lang="en-US"/>
            <a:t> In quality control, platykurtic distributions might indicate consistent, predictable processes with few surprises.</a:t>
          </a:r>
        </a:p>
        <a:p>
          <a:r>
            <a:rPr lang="en-US" b="1"/>
            <a:t>Calculation in Excel:</a:t>
          </a:r>
          <a:endParaRPr lang="en-US"/>
        </a:p>
        <a:p>
          <a:r>
            <a:rPr lang="en-US"/>
            <a:t>To calculate kurtosis in Excel, use the function: =KURT(data_range)</a:t>
          </a:r>
        </a:p>
        <a:p>
          <a:r>
            <a:rPr lang="en-US" b="1"/>
            <a:t>Important Note:</a:t>
          </a:r>
          <a:r>
            <a:rPr lang="en-US"/>
            <a:t> Excel calculates "excess kurtosis" which is (Kurtosis - 3). This makes the normal distribution have a value of 0, making it easier to interpret:</a:t>
          </a:r>
        </a:p>
        <a:p>
          <a:r>
            <a:rPr lang="en-US"/>
            <a:t>Positive value = Leptokurtic (heavier tails than normal)</a:t>
          </a:r>
        </a:p>
        <a:p>
          <a:r>
            <a:rPr lang="en-US"/>
            <a:t>Zero = Mesokurtic (similar to normal)</a:t>
          </a:r>
        </a:p>
        <a:p>
          <a:r>
            <a:rPr lang="en-US"/>
            <a:t>Negative value = Platykurtic (lighter tails than normal)</a:t>
          </a:r>
        </a:p>
        <a:p>
          <a:r>
            <a:rPr lang="en-US" b="1"/>
            <a:t>Practical Significance:</a:t>
          </a:r>
          <a:endParaRPr lang="en-US"/>
        </a:p>
        <a:p>
          <a:r>
            <a:rPr lang="en-US"/>
            <a:t>Understanding kurtosis is crucial in:</a:t>
          </a:r>
        </a:p>
        <a:p>
          <a:r>
            <a:rPr lang="en-US" b="1"/>
            <a:t>Risk Management:</a:t>
          </a:r>
          <a:r>
            <a:rPr lang="en-US"/>
            <a:t> Identifying potential for extreme losses or gains</a:t>
          </a:r>
        </a:p>
        <a:p>
          <a:r>
            <a:rPr lang="en-US" b="1"/>
            <a:t>Quality Control:</a:t>
          </a:r>
          <a:r>
            <a:rPr lang="en-US"/>
            <a:t> Detecting unusual variation patterns</a:t>
          </a:r>
        </a:p>
        <a:p>
          <a:r>
            <a:rPr lang="en-US" b="1"/>
            <a:t>Investment Analysis:</a:t>
          </a:r>
          <a:r>
            <a:rPr lang="en-US"/>
            <a:t> Assessing volatility and tail risk</a:t>
          </a:r>
        </a:p>
        <a:p>
          <a:r>
            <a:rPr lang="en-US" b="1"/>
            <a:t>Insurance:</a:t>
          </a:r>
          <a:r>
            <a:rPr lang="en-US"/>
            <a:t> Calculating probability of catastrophic events</a:t>
          </a:r>
        </a:p>
        <a:p>
          <a:r>
            <a:rPr lang="en-US" b="1"/>
            <a:t>Research:</a:t>
          </a:r>
          <a:r>
            <a:rPr lang="en-US"/>
            <a:t> Understanding data distribution characteristics</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60960</xdr:colOff>
      <xdr:row>1</xdr:row>
      <xdr:rowOff>160020</xdr:rowOff>
    </xdr:to>
    <xdr:sp macro="" textlink="">
      <xdr:nvSpPr>
        <xdr:cNvPr id="2" name="TextBox 1">
          <a:extLst>
            <a:ext uri="{FF2B5EF4-FFF2-40B4-BE49-F238E27FC236}">
              <a16:creationId xmlns:a16="http://schemas.microsoft.com/office/drawing/2014/main" id="{EBE78832-5736-471F-9977-20A9F6BEB831}"/>
            </a:ext>
          </a:extLst>
        </xdr:cNvPr>
        <xdr:cNvSpPr txBox="1"/>
      </xdr:nvSpPr>
      <xdr:spPr>
        <a:xfrm>
          <a:off x="0" y="0"/>
          <a:ext cx="8595360" cy="342900"/>
        </a:xfrm>
        <a:prstGeom prst="rect">
          <a:avLst/>
        </a:prstGeom>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35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Question 6:</a:t>
          </a:r>
          <a:r>
            <a:rPr lang="en-US" sz="1600" baseline="0"/>
            <a:t> </a:t>
          </a:r>
          <a:r>
            <a:rPr lang="en-US" sz="1600"/>
            <a:t>Explain why the uniform distribution is a good model for the outcome of rolling a fair die.</a:t>
          </a:r>
        </a:p>
      </xdr:txBody>
    </xdr:sp>
    <xdr:clientData/>
  </xdr:twoCellAnchor>
  <xdr:oneCellAnchor>
    <xdr:from>
      <xdr:col>0</xdr:col>
      <xdr:colOff>0</xdr:colOff>
      <xdr:row>19</xdr:row>
      <xdr:rowOff>160020</xdr:rowOff>
    </xdr:from>
    <xdr:ext cx="12854940" cy="8816340"/>
    <xdr:sp macro="" textlink="">
      <xdr:nvSpPr>
        <xdr:cNvPr id="3" name="TextBox 2">
          <a:extLst>
            <a:ext uri="{FF2B5EF4-FFF2-40B4-BE49-F238E27FC236}">
              <a16:creationId xmlns:a16="http://schemas.microsoft.com/office/drawing/2014/main" id="{3698AC39-086F-F402-678C-838E10C9A977}"/>
            </a:ext>
          </a:extLst>
        </xdr:cNvPr>
        <xdr:cNvSpPr txBox="1"/>
      </xdr:nvSpPr>
      <xdr:spPr>
        <a:xfrm>
          <a:off x="0" y="3718560"/>
          <a:ext cx="12854940" cy="8816340"/>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6200000" scaled="1"/>
          <a:tileRect/>
        </a:gra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Why the Uniform Distribution is a Good Model for a Fair Die:</a:t>
          </a:r>
          <a:endParaRPr lang="en-US" sz="1400"/>
        </a:p>
        <a:p>
          <a:r>
            <a:rPr lang="en-US" sz="1400" b="1"/>
            <a:t>1. Equal Probability for All Outcomes</a:t>
          </a:r>
          <a:endParaRPr lang="en-US" sz="1400"/>
        </a:p>
        <a:p>
          <a:r>
            <a:rPr lang="en-US" sz="1400"/>
            <a:t>A fair six-sided die has six faces numbered 1 through 6, and each face has an exactly equal probability of appearing on any single roll. This probability is 1/6 or approximately 16.67%. The discrete uniform distribution is specifically designed to assign equal probability to each possible outcome within a defined range, which perfectly matches the behavior of a fair die. No face is more likely to appear than any other.</a:t>
          </a:r>
        </a:p>
        <a:p>
          <a:r>
            <a:rPr lang="en-US" sz="1400" b="1"/>
            <a:t>2. No Bias or Preference</a:t>
          </a:r>
          <a:endParaRPr lang="en-US" sz="1400"/>
        </a:p>
        <a:p>
          <a:r>
            <a:rPr lang="en-US" sz="1400"/>
            <a:t>The fundamental characteristic of a "fair" die is that it shows no bias toward any particular number. Over many rolls, each number should appear approximately the same number of times. The uniform distribution embodies this property by treating all outcomes identically, with no skewness or tendency toward any particular value. This lack of preference is the mathematical definition of fairness.</a:t>
          </a:r>
        </a:p>
        <a:p>
          <a:r>
            <a:rPr lang="en-US" sz="1400" b="1"/>
            <a:t>3. Well-Defined Range with Discrete Values</a:t>
          </a:r>
          <a:endParaRPr lang="en-US" sz="1400"/>
        </a:p>
        <a:p>
          <a:r>
            <a:rPr lang="en-US" sz="1400"/>
            <a:t>The uniform distribution has clear minimum and maximum values. For a standard die, these are 1 (minimum) and 6 (maximum). All integer values between and including these bounds are equally likely, and no other values are possible. The die cannot show 0, 7, or any fractional value like 3.5. This bounded, discrete nature is perfectly captured by the discrete uniform distribution.</a:t>
          </a:r>
        </a:p>
        <a:p>
          <a:r>
            <a:rPr lang="en-US" sz="1400" b="1"/>
            <a:t>4. Mathematical Properties Match Perfectly</a:t>
          </a:r>
          <a:endParaRPr lang="en-US" sz="1400"/>
        </a:p>
        <a:p>
          <a:r>
            <a:rPr lang="en-US" sz="1400"/>
            <a:t>The theoretical properties of the uniform distribution align exactly with what we expect from a fair die:</a:t>
          </a:r>
        </a:p>
        <a:p>
          <a:r>
            <a:rPr lang="en-US" sz="1400" b="1"/>
            <a:t>Expected Value (Mean):</a:t>
          </a:r>
          <a:r>
            <a:rPr lang="en-US" sz="1400"/>
            <a:t> The average of all outcomes is (1+2+3+4+5+6)/6 = 3.5</a:t>
          </a:r>
        </a:p>
        <a:p>
          <a:r>
            <a:rPr lang="en-US" sz="1400" b="1"/>
            <a:t>Symmetry:</a:t>
          </a:r>
          <a:r>
            <a:rPr lang="en-US" sz="1400"/>
            <a:t> The distribution is perfectly symmetric around 3.5</a:t>
          </a:r>
        </a:p>
        <a:p>
          <a:r>
            <a:rPr lang="en-US" sz="1400" b="1"/>
            <a:t>Variance:</a:t>
          </a:r>
          <a:r>
            <a:rPr lang="en-US" sz="1400"/>
            <a:t> The spread of values follows the uniform distribution formula (n²-1)/12 = 35/12 ≈ 2.917</a:t>
          </a:r>
        </a:p>
        <a:p>
          <a:r>
            <a:rPr lang="en-US" sz="1400" b="1"/>
            <a:t>Equal Frequencies:</a:t>
          </a:r>
          <a:r>
            <a:rPr lang="en-US" sz="1400"/>
            <a:t> In the long run, each number appears exactly 1/6 of the time</a:t>
          </a:r>
        </a:p>
        <a:p>
          <a:r>
            <a:rPr lang="en-US" sz="1400" b="1"/>
            <a:t>5. Independence of Rolls</a:t>
          </a:r>
          <a:endParaRPr lang="en-US" sz="1400"/>
        </a:p>
        <a:p>
          <a:r>
            <a:rPr lang="en-US" sz="1400"/>
            <a:t>Each roll of a fair die is completely independent of all previous rolls. The outcome of one roll does not influence the probability of outcomes on subsequent rolls. This is known as "memoryless" behavior. The uniform distribution model maintains this independence property—each trial has identical probabilities regardless of the history of previous outcomes. The die has no "memory" of what it rolled before.</a:t>
          </a:r>
        </a:p>
        <a:p>
          <a:r>
            <a:rPr lang="en-US" sz="1400" b="1"/>
            <a:t>6. Predictable Long-Run Behavior</a:t>
          </a:r>
          <a:endParaRPr lang="en-US" sz="1400"/>
        </a:p>
        <a:p>
          <a:r>
            <a:rPr lang="en-US" sz="1400"/>
            <a:t>According to the Law of Large Numbers, as the number of rolls increases, the observed frequency of each face will converge to the theoretical probability of 1/6. The uniform distribution model predicts this behavior precisely. If you roll a die 6000 times, you expect approximately 1000 occurrences of each number, and the uniform distribution quantifies this expectation mathematically.</a:t>
          </a:r>
        </a:p>
        <a:p>
          <a:r>
            <a:rPr lang="en-US" sz="1400" b="1"/>
            <a:t>7. Simplicity and Accuracy</a:t>
          </a:r>
          <a:endParaRPr lang="en-US" sz="1400"/>
        </a:p>
        <a:p>
          <a:r>
            <a:rPr lang="en-US" sz="1400"/>
            <a:t>The uniform distribution provides the simplest possible model that accurately represents a fair die. There is no need for complex parameters or assumptions beyond specifying the range of possible outcomes and asserting equal probabilities. This simplicity makes probability calculations straightforward and reliable.</a:t>
          </a:r>
        </a:p>
        <a:p>
          <a:r>
            <a:rPr lang="en-US" sz="1400" b="1"/>
            <a:t>8. Foundation for Other Calculations</a:t>
          </a:r>
          <a:endParaRPr lang="en-US" sz="1400"/>
        </a:p>
        <a:p>
          <a:r>
            <a:rPr lang="en-US" sz="1400"/>
            <a:t>The uniform distribution model for a fair die serves as the foundation for more complex probability calculations, such as:</a:t>
          </a:r>
        </a:p>
        <a:p>
          <a:r>
            <a:rPr lang="en-US" sz="1400"/>
            <a:t>Probability of rolling doubles with two dice</a:t>
          </a:r>
        </a:p>
        <a:p>
          <a:r>
            <a:rPr lang="en-US" sz="1400"/>
            <a:t>Expected number of rolls to get all six faces</a:t>
          </a:r>
        </a:p>
        <a:p>
          <a:r>
            <a:rPr lang="en-US" sz="1400"/>
            <a:t>Probability of specific sequences or patterns</a:t>
          </a:r>
        </a:p>
        <a:p>
          <a:r>
            <a:rPr lang="en-US" sz="1400"/>
            <a:t>Games of chance and gambling odds</a:t>
          </a:r>
        </a:p>
        <a:p>
          <a:r>
            <a:rPr lang="en-US" sz="1400" b="1"/>
            <a:t>Conclusion:</a:t>
          </a:r>
          <a:endParaRPr lang="en-US" sz="1400"/>
        </a:p>
        <a:p>
          <a:r>
            <a:rPr lang="en-US" sz="1400"/>
            <a:t>The uniform distribution is not just a "good" model for a fair die—it is the perfect theoretical model. It captures every essential characteristic: equal probabilities, independence, discrete outcomes, defined range, and lack of bias. This makes the uniform distribution the standard mathematical framework for analyzing fair die rolls and forms the basis for teaching fundamental probability concepts.</a:t>
          </a:r>
        </a:p>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510540</xdr:colOff>
      <xdr:row>1</xdr:row>
      <xdr:rowOff>160020</xdr:rowOff>
    </xdr:to>
    <xdr:sp macro="" textlink="">
      <xdr:nvSpPr>
        <xdr:cNvPr id="2" name="TextBox 1">
          <a:extLst>
            <a:ext uri="{FF2B5EF4-FFF2-40B4-BE49-F238E27FC236}">
              <a16:creationId xmlns:a16="http://schemas.microsoft.com/office/drawing/2014/main" id="{51F8400D-382E-4DA3-A99D-DD6DA594BF43}"/>
            </a:ext>
          </a:extLst>
        </xdr:cNvPr>
        <xdr:cNvSpPr txBox="1"/>
      </xdr:nvSpPr>
      <xdr:spPr>
        <a:xfrm>
          <a:off x="0" y="0"/>
          <a:ext cx="10264140" cy="342900"/>
        </a:xfrm>
        <a:prstGeom prst="rect">
          <a:avLst/>
        </a:prstGeom>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35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Question 7:</a:t>
          </a:r>
          <a:r>
            <a:rPr lang="en-US" sz="1600" baseline="0"/>
            <a:t> </a:t>
          </a:r>
          <a:r>
            <a:rPr lang="en-US" sz="1600"/>
            <a:t>Use Excel to compute the probability of getting at least 8 successes in 15 trials with success probability 0.5</a:t>
          </a:r>
        </a:p>
      </xdr:txBody>
    </xdr:sp>
    <xdr:clientData/>
  </xdr:twoCellAnchor>
  <xdr:twoCellAnchor>
    <xdr:from>
      <xdr:col>0</xdr:col>
      <xdr:colOff>0</xdr:colOff>
      <xdr:row>31</xdr:row>
      <xdr:rowOff>160020</xdr:rowOff>
    </xdr:from>
    <xdr:to>
      <xdr:col>3</xdr:col>
      <xdr:colOff>6187440</xdr:colOff>
      <xdr:row>53</xdr:row>
      <xdr:rowOff>175260</xdr:rowOff>
    </xdr:to>
    <xdr:sp macro="" textlink="">
      <xdr:nvSpPr>
        <xdr:cNvPr id="3" name="TextBox 2">
          <a:extLst>
            <a:ext uri="{FF2B5EF4-FFF2-40B4-BE49-F238E27FC236}">
              <a16:creationId xmlns:a16="http://schemas.microsoft.com/office/drawing/2014/main" id="{F5E32134-F947-89E8-B5B4-4694DD8068EE}"/>
            </a:ext>
          </a:extLst>
        </xdr:cNvPr>
        <xdr:cNvSpPr txBox="1"/>
      </xdr:nvSpPr>
      <xdr:spPr>
        <a:xfrm>
          <a:off x="0" y="5966460"/>
          <a:ext cx="10195560" cy="4038600"/>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Problem:</a:t>
          </a:r>
          <a:r>
            <a:rPr lang="en-US" sz="1400"/>
            <a:t> Calculate the probability of getting at least 8 successes in 15 trials when the success probability is 0.5.</a:t>
          </a:r>
        </a:p>
        <a:p>
          <a:r>
            <a:rPr lang="en-US" sz="1400" b="1"/>
            <a:t>Solution Approach:</a:t>
          </a:r>
          <a:endParaRPr lang="en-US" sz="1400"/>
        </a:p>
        <a:p>
          <a:r>
            <a:rPr lang="en-US" sz="1400"/>
            <a:t>When calculating "at least k successes," we use the complement rule: P(X ≥ 8) = 1 - P(X ≤ 7)</a:t>
          </a:r>
        </a:p>
        <a:p>
          <a:r>
            <a:rPr lang="en-US" sz="1400"/>
            <a:t>This is more efficient than adding individual probabilities for X = 8, 9, 10, 11, 12, 13, 14, and 15.</a:t>
          </a:r>
        </a:p>
        <a:p>
          <a:r>
            <a:rPr lang="en-US" sz="1400" b="1"/>
            <a:t>Excel Formula:</a:t>
          </a:r>
          <a:r>
            <a:rPr lang="en-US" sz="1400"/>
            <a:t> =1-BINOM.DIST(7, 15, 0.5, TRUE)</a:t>
          </a:r>
        </a:p>
        <a:p>
          <a:r>
            <a:rPr lang="en-US" sz="1400"/>
            <a:t>Where:</a:t>
          </a:r>
        </a:p>
        <a:p>
          <a:r>
            <a:rPr lang="en-US" sz="1400"/>
            <a:t>7 is one less than the minimum number of successes we want</a:t>
          </a:r>
        </a:p>
        <a:p>
          <a:r>
            <a:rPr lang="en-US" sz="1400"/>
            <a:t>15 is the total number of trials (n)</a:t>
          </a:r>
        </a:p>
        <a:p>
          <a:r>
            <a:rPr lang="en-US" sz="1400"/>
            <a:t>0.5 is the probability of success on each trial (p)</a:t>
          </a:r>
        </a:p>
        <a:p>
          <a:r>
            <a:rPr lang="en-US" sz="1400"/>
            <a:t>TRUE means we want the cumulative probability P(X ≤ 7)</a:t>
          </a:r>
        </a:p>
        <a:p>
          <a:r>
            <a:rPr lang="en-US" sz="1400" b="1"/>
            <a:t>Answer:</a:t>
          </a:r>
          <a:r>
            <a:rPr lang="en-US" sz="1400"/>
            <a:t> The probability of getting at least 8 successes in 15 trials with success probability 0.5 is approximately </a:t>
          </a:r>
          <a:r>
            <a:rPr lang="en-US" sz="1400" b="1"/>
            <a:t>0.5000 or 50.00%</a:t>
          </a:r>
          <a:endParaRPr lang="en-US" sz="1400"/>
        </a:p>
        <a:p>
          <a:r>
            <a:rPr lang="en-US" sz="1400" b="1"/>
            <a:t>Why This Makes Sense:</a:t>
          </a:r>
          <a:endParaRPr lang="en-US" sz="1400"/>
        </a:p>
        <a:p>
          <a:r>
            <a:rPr lang="en-US" sz="1400"/>
            <a:t>This result is intuitive because:</a:t>
          </a:r>
        </a:p>
        <a:p>
          <a:r>
            <a:rPr lang="en-US" sz="1400"/>
            <a:t>With p = 0.5, the expected number of successes is np = 15 × 0.5 = 7.5</a:t>
          </a:r>
        </a:p>
        <a:p>
          <a:r>
            <a:rPr lang="en-US" sz="1400"/>
            <a:t>The distribution is perfectly symmetric when p = 0.5</a:t>
          </a:r>
        </a:p>
        <a:p>
          <a:r>
            <a:rPr lang="en-US" sz="1400"/>
            <a:t>Since 7.5 is the mean, the probability of getting more than 7.5 successes (i.e., 8 or more) equals the probability of getting fewer than 7.5 successes (i.e., 7 or fewer)</a:t>
          </a:r>
        </a:p>
        <a:p>
          <a:r>
            <a:rPr lang="en-US" sz="1400"/>
            <a:t>Due to symmetry, both probabilities are exactly 0.5 or 50%</a:t>
          </a:r>
        </a:p>
        <a:p>
          <a:endParaRPr lang="en-US" sz="14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487680</xdr:colOff>
      <xdr:row>1</xdr:row>
      <xdr:rowOff>160020</xdr:rowOff>
    </xdr:to>
    <xdr:sp macro="" textlink="">
      <xdr:nvSpPr>
        <xdr:cNvPr id="2" name="TextBox 1">
          <a:extLst>
            <a:ext uri="{FF2B5EF4-FFF2-40B4-BE49-F238E27FC236}">
              <a16:creationId xmlns:a16="http://schemas.microsoft.com/office/drawing/2014/main" id="{35A4367B-F955-45E6-A7A4-34A3E4AAF580}"/>
            </a:ext>
          </a:extLst>
        </xdr:cNvPr>
        <xdr:cNvSpPr txBox="1"/>
      </xdr:nvSpPr>
      <xdr:spPr>
        <a:xfrm>
          <a:off x="0" y="0"/>
          <a:ext cx="9631680" cy="342900"/>
        </a:xfrm>
        <a:prstGeom prst="rect">
          <a:avLst/>
        </a:prstGeom>
        <a:gradFill flip="none" rotWithShape="1">
          <a:gsLst>
            <a:gs pos="0">
              <a:schemeClr val="accent2">
                <a:lumMod val="60000"/>
                <a:lumOff val="40000"/>
                <a:tint val="66000"/>
                <a:satMod val="160000"/>
              </a:schemeClr>
            </a:gs>
            <a:gs pos="50000">
              <a:schemeClr val="accent2">
                <a:lumMod val="60000"/>
                <a:lumOff val="40000"/>
                <a:tint val="44500"/>
                <a:satMod val="160000"/>
              </a:schemeClr>
            </a:gs>
            <a:gs pos="100000">
              <a:schemeClr val="accent2">
                <a:lumMod val="60000"/>
                <a:lumOff val="40000"/>
                <a:tint val="23500"/>
                <a:satMod val="160000"/>
              </a:schemeClr>
            </a:gs>
          </a:gsLst>
          <a:lin ang="135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Question 8:</a:t>
          </a:r>
          <a:r>
            <a:rPr lang="en-US" sz="1600" baseline="0"/>
            <a:t> </a:t>
          </a:r>
          <a:r>
            <a:rPr lang="en-US" sz="1600" b="0" i="0" u="none" strike="noStrike">
              <a:solidFill>
                <a:schemeClr val="dk1"/>
              </a:solidFill>
              <a:effectLst/>
              <a:latin typeface="+mn-lt"/>
              <a:ea typeface="+mn-ea"/>
              <a:cs typeface="+mn-cs"/>
            </a:rPr>
            <a:t>How does log transformation help in stabilizing variance and making data more normally distributed?</a:t>
          </a:r>
          <a:r>
            <a:rPr lang="en-US" sz="1600"/>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B043-8F73-474A-835A-19543C6CD7E7}">
  <dimension ref="A5:E38"/>
  <sheetViews>
    <sheetView workbookViewId="0">
      <selection activeCell="D21" sqref="D21"/>
    </sheetView>
  </sheetViews>
  <sheetFormatPr defaultRowHeight="14.4" x14ac:dyDescent="0.3"/>
  <cols>
    <col min="1" max="1" width="24.88671875" customWidth="1"/>
    <col min="2" max="2" width="10.5546875" customWidth="1"/>
    <col min="4" max="4" width="25.5546875" bestFit="1" customWidth="1"/>
  </cols>
  <sheetData>
    <row r="5" spans="1:5" ht="18" x14ac:dyDescent="0.35">
      <c r="A5" s="1" t="s">
        <v>0</v>
      </c>
    </row>
    <row r="6" spans="1:5" ht="15" thickBot="1" x14ac:dyDescent="0.35"/>
    <row r="7" spans="1:5" ht="16.2" thickBot="1" x14ac:dyDescent="0.35">
      <c r="A7" s="5" t="s">
        <v>1</v>
      </c>
      <c r="B7" s="6" t="s">
        <v>2</v>
      </c>
    </row>
    <row r="8" spans="1:5" ht="15" thickBot="1" x14ac:dyDescent="0.35">
      <c r="A8" s="4">
        <v>1</v>
      </c>
      <c r="B8" s="4">
        <v>2</v>
      </c>
    </row>
    <row r="9" spans="1:5" x14ac:dyDescent="0.3">
      <c r="A9" s="3">
        <v>2</v>
      </c>
      <c r="B9" s="3">
        <v>4</v>
      </c>
      <c r="D9" s="8" t="s">
        <v>4</v>
      </c>
      <c r="E9" s="9" t="s">
        <v>5</v>
      </c>
    </row>
    <row r="10" spans="1:5" x14ac:dyDescent="0.3">
      <c r="A10" s="3">
        <v>3</v>
      </c>
      <c r="B10" s="3">
        <v>1</v>
      </c>
      <c r="D10" s="15" t="s">
        <v>6</v>
      </c>
      <c r="E10" s="11">
        <v>30</v>
      </c>
    </row>
    <row r="11" spans="1:5" x14ac:dyDescent="0.3">
      <c r="A11" s="3">
        <v>4</v>
      </c>
      <c r="B11" s="3">
        <v>5</v>
      </c>
      <c r="D11" s="15" t="s">
        <v>7</v>
      </c>
      <c r="E11" s="11">
        <v>5</v>
      </c>
    </row>
    <row r="12" spans="1:5" x14ac:dyDescent="0.3">
      <c r="A12" s="3">
        <v>5</v>
      </c>
      <c r="B12" s="3">
        <v>6</v>
      </c>
      <c r="D12" s="15" t="s">
        <v>8</v>
      </c>
      <c r="E12" s="12">
        <v>0.16666666666666666</v>
      </c>
    </row>
    <row r="13" spans="1:5" x14ac:dyDescent="0.3">
      <c r="A13" s="3">
        <v>6</v>
      </c>
      <c r="B13" s="3">
        <v>2</v>
      </c>
      <c r="D13" s="15" t="s">
        <v>9</v>
      </c>
      <c r="E13" s="11">
        <f>_xlfn.BINOM.DIST(E11,E10,E12,FALSE)</f>
        <v>0.19210813105163416</v>
      </c>
    </row>
    <row r="14" spans="1:5" ht="15" thickBot="1" x14ac:dyDescent="0.35">
      <c r="A14" s="3">
        <v>7</v>
      </c>
      <c r="B14" s="3">
        <v>5</v>
      </c>
      <c r="D14" s="16" t="s">
        <v>10</v>
      </c>
      <c r="E14" s="14">
        <f>E13</f>
        <v>0.19210813105163416</v>
      </c>
    </row>
    <row r="15" spans="1:5" x14ac:dyDescent="0.3">
      <c r="A15" s="3">
        <v>8</v>
      </c>
      <c r="B15" s="3">
        <v>4</v>
      </c>
    </row>
    <row r="16" spans="1:5" ht="15.6" x14ac:dyDescent="0.3">
      <c r="A16" s="3">
        <v>9</v>
      </c>
      <c r="B16" s="3">
        <v>6</v>
      </c>
      <c r="D16" s="2" t="s">
        <v>11</v>
      </c>
    </row>
    <row r="17" spans="1:2" x14ac:dyDescent="0.3">
      <c r="A17" s="3">
        <v>10</v>
      </c>
      <c r="B17" s="3">
        <v>6</v>
      </c>
    </row>
    <row r="18" spans="1:2" x14ac:dyDescent="0.3">
      <c r="A18" s="3">
        <v>11</v>
      </c>
      <c r="B18" s="3">
        <v>6</v>
      </c>
    </row>
    <row r="19" spans="1:2" x14ac:dyDescent="0.3">
      <c r="A19" s="3">
        <v>12</v>
      </c>
      <c r="B19" s="3">
        <v>2</v>
      </c>
    </row>
    <row r="20" spans="1:2" x14ac:dyDescent="0.3">
      <c r="A20" s="3">
        <v>13</v>
      </c>
      <c r="B20" s="3">
        <v>3</v>
      </c>
    </row>
    <row r="21" spans="1:2" x14ac:dyDescent="0.3">
      <c r="A21" s="3">
        <v>14</v>
      </c>
      <c r="B21" s="3">
        <v>5</v>
      </c>
    </row>
    <row r="22" spans="1:2" x14ac:dyDescent="0.3">
      <c r="A22" s="3">
        <v>15</v>
      </c>
      <c r="B22" s="3">
        <v>1</v>
      </c>
    </row>
    <row r="23" spans="1:2" x14ac:dyDescent="0.3">
      <c r="A23" s="3">
        <v>16</v>
      </c>
      <c r="B23" s="3">
        <v>4</v>
      </c>
    </row>
    <row r="24" spans="1:2" x14ac:dyDescent="0.3">
      <c r="A24" s="3">
        <v>17</v>
      </c>
      <c r="B24" s="3">
        <v>1</v>
      </c>
    </row>
    <row r="25" spans="1:2" x14ac:dyDescent="0.3">
      <c r="A25" s="3">
        <v>18</v>
      </c>
      <c r="B25" s="3">
        <v>3</v>
      </c>
    </row>
    <row r="26" spans="1:2" x14ac:dyDescent="0.3">
      <c r="A26" s="3">
        <v>19</v>
      </c>
      <c r="B26" s="3">
        <v>1</v>
      </c>
    </row>
    <row r="27" spans="1:2" x14ac:dyDescent="0.3">
      <c r="A27" s="3">
        <v>20</v>
      </c>
      <c r="B27" s="3">
        <v>5</v>
      </c>
    </row>
    <row r="28" spans="1:2" x14ac:dyDescent="0.3">
      <c r="A28" s="3">
        <v>21</v>
      </c>
      <c r="B28" s="3">
        <v>6</v>
      </c>
    </row>
    <row r="29" spans="1:2" x14ac:dyDescent="0.3">
      <c r="A29" s="3">
        <v>22</v>
      </c>
      <c r="B29" s="3">
        <v>2</v>
      </c>
    </row>
    <row r="30" spans="1:2" x14ac:dyDescent="0.3">
      <c r="A30" s="3">
        <v>23</v>
      </c>
      <c r="B30" s="3">
        <v>4</v>
      </c>
    </row>
    <row r="31" spans="1:2" x14ac:dyDescent="0.3">
      <c r="A31" s="3">
        <v>24</v>
      </c>
      <c r="B31" s="3">
        <v>5</v>
      </c>
    </row>
    <row r="32" spans="1:2" x14ac:dyDescent="0.3">
      <c r="A32" s="3">
        <v>25</v>
      </c>
      <c r="B32" s="3">
        <v>5</v>
      </c>
    </row>
    <row r="33" spans="1:2" x14ac:dyDescent="0.3">
      <c r="A33" s="3">
        <v>26</v>
      </c>
      <c r="B33" s="3">
        <v>1</v>
      </c>
    </row>
    <row r="34" spans="1:2" x14ac:dyDescent="0.3">
      <c r="A34" s="3">
        <v>27</v>
      </c>
      <c r="B34" s="3">
        <v>1</v>
      </c>
    </row>
    <row r="35" spans="1:2" x14ac:dyDescent="0.3">
      <c r="A35" s="3">
        <v>28</v>
      </c>
      <c r="B35" s="3">
        <v>2</v>
      </c>
    </row>
    <row r="36" spans="1:2" x14ac:dyDescent="0.3">
      <c r="A36" s="3">
        <v>29</v>
      </c>
      <c r="B36" s="3">
        <v>1</v>
      </c>
    </row>
    <row r="37" spans="1:2" ht="15" thickBot="1" x14ac:dyDescent="0.35">
      <c r="A37" s="7">
        <v>30</v>
      </c>
      <c r="B37" s="7">
        <v>3</v>
      </c>
    </row>
    <row r="38" spans="1:2" ht="16.2" thickBot="1" x14ac:dyDescent="0.35">
      <c r="A38" s="5" t="s">
        <v>3</v>
      </c>
      <c r="B38" s="6">
        <f>COUNTIF(B8:B37,3)</f>
        <v>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24094-9392-4830-9D43-626B5A0EB381}">
  <dimension ref="A4:E105"/>
  <sheetViews>
    <sheetView workbookViewId="0">
      <selection activeCell="L21" sqref="L21"/>
    </sheetView>
  </sheetViews>
  <sheetFormatPr defaultRowHeight="14.4" x14ac:dyDescent="0.3"/>
  <cols>
    <col min="1" max="1" width="14.33203125" bestFit="1" customWidth="1"/>
    <col min="2" max="2" width="37.5546875" bestFit="1" customWidth="1"/>
    <col min="4" max="4" width="16.5546875" bestFit="1" customWidth="1"/>
  </cols>
  <sheetData>
    <row r="4" spans="1:5" ht="15" thickBot="1" x14ac:dyDescent="0.35"/>
    <row r="5" spans="1:5" ht="15.6" x14ac:dyDescent="0.3">
      <c r="A5" s="21" t="s">
        <v>12</v>
      </c>
      <c r="B5" s="22" t="s">
        <v>13</v>
      </c>
    </row>
    <row r="6" spans="1:5" ht="15" thickBot="1" x14ac:dyDescent="0.35">
      <c r="A6" s="10">
        <v>1</v>
      </c>
      <c r="B6" s="11">
        <v>0.14435615233065047</v>
      </c>
    </row>
    <row r="7" spans="1:5" x14ac:dyDescent="0.3">
      <c r="A7" s="10">
        <v>2</v>
      </c>
      <c r="B7" s="11">
        <v>1.0323253654634157E-2</v>
      </c>
      <c r="D7" s="8" t="s">
        <v>14</v>
      </c>
      <c r="E7" s="9" t="s">
        <v>5</v>
      </c>
    </row>
    <row r="8" spans="1:5" x14ac:dyDescent="0.3">
      <c r="A8" s="10">
        <v>3</v>
      </c>
      <c r="B8" s="11">
        <v>0.74153994257843514</v>
      </c>
      <c r="D8" s="15" t="s">
        <v>15</v>
      </c>
      <c r="E8" s="11">
        <f>MIN(B6:B105)</f>
        <v>8.3908192682258242E-3</v>
      </c>
    </row>
    <row r="9" spans="1:5" x14ac:dyDescent="0.3">
      <c r="A9" s="10">
        <v>4</v>
      </c>
      <c r="B9" s="11">
        <v>0.46083736361482908</v>
      </c>
      <c r="D9" s="15" t="s">
        <v>16</v>
      </c>
      <c r="E9" s="11">
        <f>MAX(B6:B105)</f>
        <v>0.99646584070237787</v>
      </c>
    </row>
    <row r="10" spans="1:5" x14ac:dyDescent="0.3">
      <c r="A10" s="10">
        <v>5</v>
      </c>
      <c r="B10" s="11">
        <v>0.50049856286475469</v>
      </c>
      <c r="D10" s="15" t="s">
        <v>17</v>
      </c>
      <c r="E10" s="11">
        <f>AVERAGE(B6:B105)</f>
        <v>0.47518455316342101</v>
      </c>
    </row>
    <row r="11" spans="1:5" ht="15" thickBot="1" x14ac:dyDescent="0.35">
      <c r="A11" s="10">
        <v>6</v>
      </c>
      <c r="B11" s="11">
        <v>0.43340390454761468</v>
      </c>
      <c r="D11" s="16" t="s">
        <v>18</v>
      </c>
      <c r="E11" s="17">
        <f>_xlfn.STDEV.P(B6:B105)</f>
        <v>0.28207218186788768</v>
      </c>
    </row>
    <row r="12" spans="1:5" x14ac:dyDescent="0.3">
      <c r="A12" s="10">
        <v>7</v>
      </c>
      <c r="B12" s="11">
        <v>0.38804989170200599</v>
      </c>
    </row>
    <row r="13" spans="1:5" x14ac:dyDescent="0.3">
      <c r="A13" s="10">
        <v>8</v>
      </c>
      <c r="B13" s="11">
        <v>0.16654170060000073</v>
      </c>
    </row>
    <row r="14" spans="1:5" x14ac:dyDescent="0.3">
      <c r="A14" s="10">
        <v>9</v>
      </c>
      <c r="B14" s="11">
        <v>0.16708002702156655</v>
      </c>
    </row>
    <row r="15" spans="1:5" x14ac:dyDescent="0.3">
      <c r="A15" s="10">
        <v>10</v>
      </c>
      <c r="B15" s="11">
        <v>0.90338234732784839</v>
      </c>
    </row>
    <row r="16" spans="1:5" x14ac:dyDescent="0.3">
      <c r="A16" s="10">
        <v>11</v>
      </c>
      <c r="B16" s="11">
        <v>0.72919158945210971</v>
      </c>
    </row>
    <row r="17" spans="1:2" x14ac:dyDescent="0.3">
      <c r="A17" s="10">
        <v>12</v>
      </c>
      <c r="B17" s="11">
        <v>8.3908192682258242E-3</v>
      </c>
    </row>
    <row r="18" spans="1:2" x14ac:dyDescent="0.3">
      <c r="A18" s="10">
        <v>13</v>
      </c>
      <c r="B18" s="11">
        <v>0.58918435204418296</v>
      </c>
    </row>
    <row r="19" spans="1:2" x14ac:dyDescent="0.3">
      <c r="A19" s="10">
        <v>14</v>
      </c>
      <c r="B19" s="11">
        <v>7.8149497208083729E-2</v>
      </c>
    </row>
    <row r="20" spans="1:2" x14ac:dyDescent="0.3">
      <c r="A20" s="10">
        <v>15</v>
      </c>
      <c r="B20" s="11">
        <v>0.50096863012270498</v>
      </c>
    </row>
    <row r="21" spans="1:2" x14ac:dyDescent="0.3">
      <c r="A21" s="10">
        <v>16</v>
      </c>
      <c r="B21" s="11">
        <v>0.20661761196836625</v>
      </c>
    </row>
    <row r="22" spans="1:2" x14ac:dyDescent="0.3">
      <c r="A22" s="10">
        <v>17</v>
      </c>
      <c r="B22" s="11">
        <v>0.90522949533245922</v>
      </c>
    </row>
    <row r="23" spans="1:2" x14ac:dyDescent="0.3">
      <c r="A23" s="10">
        <v>18</v>
      </c>
      <c r="B23" s="11">
        <v>0.31858678834447074</v>
      </c>
    </row>
    <row r="24" spans="1:2" x14ac:dyDescent="0.3">
      <c r="A24" s="10">
        <v>19</v>
      </c>
      <c r="B24" s="11">
        <v>0.51757759617940602</v>
      </c>
    </row>
    <row r="25" spans="1:2" x14ac:dyDescent="0.3">
      <c r="A25" s="10">
        <v>20</v>
      </c>
      <c r="B25" s="11">
        <v>0.46692976407711007</v>
      </c>
    </row>
    <row r="26" spans="1:2" x14ac:dyDescent="0.3">
      <c r="A26" s="10">
        <v>21</v>
      </c>
      <c r="B26" s="11">
        <v>0.3059436224812494</v>
      </c>
    </row>
    <row r="27" spans="1:2" x14ac:dyDescent="0.3">
      <c r="A27" s="10">
        <v>22</v>
      </c>
      <c r="B27" s="11">
        <v>0.71411812550143083</v>
      </c>
    </row>
    <row r="28" spans="1:2" x14ac:dyDescent="0.3">
      <c r="A28" s="10">
        <v>23</v>
      </c>
      <c r="B28" s="11">
        <v>0.59612557487855389</v>
      </c>
    </row>
    <row r="29" spans="1:2" x14ac:dyDescent="0.3">
      <c r="A29" s="10">
        <v>24</v>
      </c>
      <c r="B29" s="11">
        <v>0.18811432681713813</v>
      </c>
    </row>
    <row r="30" spans="1:2" x14ac:dyDescent="0.3">
      <c r="A30" s="10">
        <v>25</v>
      </c>
      <c r="B30" s="11">
        <v>0.77361611952626608</v>
      </c>
    </row>
    <row r="31" spans="1:2" x14ac:dyDescent="0.3">
      <c r="A31" s="10">
        <v>26</v>
      </c>
      <c r="B31" s="11">
        <v>0.68993507343946381</v>
      </c>
    </row>
    <row r="32" spans="1:2" x14ac:dyDescent="0.3">
      <c r="A32" s="10">
        <v>27</v>
      </c>
      <c r="B32" s="11">
        <v>0.59773975311850824</v>
      </c>
    </row>
    <row r="33" spans="1:2" x14ac:dyDescent="0.3">
      <c r="A33" s="10">
        <v>28</v>
      </c>
      <c r="B33" s="11">
        <v>0.12455517364285973</v>
      </c>
    </row>
    <row r="34" spans="1:2" x14ac:dyDescent="0.3">
      <c r="A34" s="10">
        <v>29</v>
      </c>
      <c r="B34" s="11">
        <v>0.50080517083481257</v>
      </c>
    </row>
    <row r="35" spans="1:2" x14ac:dyDescent="0.3">
      <c r="A35" s="10">
        <v>30</v>
      </c>
      <c r="B35" s="11">
        <v>0.93258067163453506</v>
      </c>
    </row>
    <row r="36" spans="1:2" x14ac:dyDescent="0.3">
      <c r="A36" s="10">
        <v>31</v>
      </c>
      <c r="B36" s="11">
        <v>0.99646584070237787</v>
      </c>
    </row>
    <row r="37" spans="1:2" x14ac:dyDescent="0.3">
      <c r="A37" s="10">
        <v>32</v>
      </c>
      <c r="B37" s="11">
        <v>8.1049615878672432E-2</v>
      </c>
    </row>
    <row r="38" spans="1:2" x14ac:dyDescent="0.3">
      <c r="A38" s="10">
        <v>33</v>
      </c>
      <c r="B38" s="11">
        <v>0.20844171422823832</v>
      </c>
    </row>
    <row r="39" spans="1:2" x14ac:dyDescent="0.3">
      <c r="A39" s="10">
        <v>34</v>
      </c>
      <c r="B39" s="11">
        <v>0.44199638909578454</v>
      </c>
    </row>
    <row r="40" spans="1:2" x14ac:dyDescent="0.3">
      <c r="A40" s="10">
        <v>35</v>
      </c>
      <c r="B40" s="11">
        <v>0.76261797284958455</v>
      </c>
    </row>
    <row r="41" spans="1:2" x14ac:dyDescent="0.3">
      <c r="A41" s="10">
        <v>36</v>
      </c>
      <c r="B41" s="11">
        <v>0.56284725389096413</v>
      </c>
    </row>
    <row r="42" spans="1:2" x14ac:dyDescent="0.3">
      <c r="A42" s="10">
        <v>37</v>
      </c>
      <c r="B42" s="11">
        <v>0.15883248044876364</v>
      </c>
    </row>
    <row r="43" spans="1:2" x14ac:dyDescent="0.3">
      <c r="A43" s="10">
        <v>38</v>
      </c>
      <c r="B43" s="11">
        <v>0.90722530787328304</v>
      </c>
    </row>
    <row r="44" spans="1:2" x14ac:dyDescent="0.3">
      <c r="A44" s="10">
        <v>39</v>
      </c>
      <c r="B44" s="11">
        <v>0.89000429359890387</v>
      </c>
    </row>
    <row r="45" spans="1:2" x14ac:dyDescent="0.3">
      <c r="A45" s="10">
        <v>40</v>
      </c>
      <c r="B45" s="11">
        <v>0.62191614517266269</v>
      </c>
    </row>
    <row r="46" spans="1:2" x14ac:dyDescent="0.3">
      <c r="A46" s="10">
        <v>41</v>
      </c>
      <c r="B46" s="11">
        <v>0.55243909562473836</v>
      </c>
    </row>
    <row r="47" spans="1:2" x14ac:dyDescent="0.3">
      <c r="A47" s="10">
        <v>42</v>
      </c>
      <c r="B47" s="11">
        <v>0.33871051948022124</v>
      </c>
    </row>
    <row r="48" spans="1:2" x14ac:dyDescent="0.3">
      <c r="A48" s="10">
        <v>43</v>
      </c>
      <c r="B48" s="11">
        <v>0.47826342615459083</v>
      </c>
    </row>
    <row r="49" spans="1:2" x14ac:dyDescent="0.3">
      <c r="A49" s="10">
        <v>44</v>
      </c>
      <c r="B49" s="11">
        <v>0.19080316867390557</v>
      </c>
    </row>
    <row r="50" spans="1:2" x14ac:dyDescent="0.3">
      <c r="A50" s="10">
        <v>45</v>
      </c>
      <c r="B50" s="11">
        <v>0.69528437118476194</v>
      </c>
    </row>
    <row r="51" spans="1:2" x14ac:dyDescent="0.3">
      <c r="A51" s="10">
        <v>46</v>
      </c>
      <c r="B51" s="11">
        <v>0.81206221007092061</v>
      </c>
    </row>
    <row r="52" spans="1:2" x14ac:dyDescent="0.3">
      <c r="A52" s="10">
        <v>47</v>
      </c>
      <c r="B52" s="11">
        <v>1.1455070874941242E-2</v>
      </c>
    </row>
    <row r="53" spans="1:2" x14ac:dyDescent="0.3">
      <c r="A53" s="10">
        <v>48</v>
      </c>
      <c r="B53" s="11">
        <v>0.86583107047596164</v>
      </c>
    </row>
    <row r="54" spans="1:2" x14ac:dyDescent="0.3">
      <c r="A54" s="10">
        <v>49</v>
      </c>
      <c r="B54" s="11">
        <v>0.63996841222235401</v>
      </c>
    </row>
    <row r="55" spans="1:2" x14ac:dyDescent="0.3">
      <c r="A55" s="10">
        <v>50</v>
      </c>
      <c r="B55" s="11">
        <v>0.70429224513177369</v>
      </c>
    </row>
    <row r="56" spans="1:2" x14ac:dyDescent="0.3">
      <c r="A56" s="10">
        <v>51</v>
      </c>
      <c r="B56" s="11">
        <v>0.50843329460590481</v>
      </c>
    </row>
    <row r="57" spans="1:2" x14ac:dyDescent="0.3">
      <c r="A57" s="10">
        <v>52</v>
      </c>
      <c r="B57" s="11">
        <v>0.2875307558476099</v>
      </c>
    </row>
    <row r="58" spans="1:2" x14ac:dyDescent="0.3">
      <c r="A58" s="10">
        <v>53</v>
      </c>
      <c r="B58" s="11">
        <v>0.76305474409207619</v>
      </c>
    </row>
    <row r="59" spans="1:2" x14ac:dyDescent="0.3">
      <c r="A59" s="10">
        <v>54</v>
      </c>
      <c r="B59" s="11">
        <v>0.441440301596285</v>
      </c>
    </row>
    <row r="60" spans="1:2" x14ac:dyDescent="0.3">
      <c r="A60" s="10">
        <v>55</v>
      </c>
      <c r="B60" s="11">
        <v>0.18499274124495813</v>
      </c>
    </row>
    <row r="61" spans="1:2" x14ac:dyDescent="0.3">
      <c r="A61" s="10">
        <v>56</v>
      </c>
      <c r="B61" s="11">
        <v>0.28150356329661752</v>
      </c>
    </row>
    <row r="62" spans="1:2" x14ac:dyDescent="0.3">
      <c r="A62" s="10">
        <v>57</v>
      </c>
      <c r="B62" s="11">
        <v>0.88052832214153343</v>
      </c>
    </row>
    <row r="63" spans="1:2" x14ac:dyDescent="0.3">
      <c r="A63" s="10">
        <v>58</v>
      </c>
      <c r="B63" s="11">
        <v>5.0916183236811019E-2</v>
      </c>
    </row>
    <row r="64" spans="1:2" x14ac:dyDescent="0.3">
      <c r="A64" s="10">
        <v>59</v>
      </c>
      <c r="B64" s="11">
        <v>0.51983573498415669</v>
      </c>
    </row>
    <row r="65" spans="1:2" x14ac:dyDescent="0.3">
      <c r="A65" s="10">
        <v>60</v>
      </c>
      <c r="B65" s="11">
        <v>0.85685440547649139</v>
      </c>
    </row>
    <row r="66" spans="1:2" x14ac:dyDescent="0.3">
      <c r="A66" s="10">
        <v>61</v>
      </c>
      <c r="B66" s="11">
        <v>0.58929488796959784</v>
      </c>
    </row>
    <row r="67" spans="1:2" x14ac:dyDescent="0.3">
      <c r="A67" s="10">
        <v>62</v>
      </c>
      <c r="B67" s="11">
        <v>2.6510313082088066E-2</v>
      </c>
    </row>
    <row r="68" spans="1:2" x14ac:dyDescent="0.3">
      <c r="A68" s="10">
        <v>63</v>
      </c>
      <c r="B68" s="11">
        <v>0.13998445506441259</v>
      </c>
    </row>
    <row r="69" spans="1:2" x14ac:dyDescent="0.3">
      <c r="A69" s="10">
        <v>64</v>
      </c>
      <c r="B69" s="11">
        <v>9.3433798405727075E-2</v>
      </c>
    </row>
    <row r="70" spans="1:2" x14ac:dyDescent="0.3">
      <c r="A70" s="10">
        <v>65</v>
      </c>
      <c r="B70" s="11">
        <v>0.87191385506215657</v>
      </c>
    </row>
    <row r="71" spans="1:2" x14ac:dyDescent="0.3">
      <c r="A71" s="10">
        <v>66</v>
      </c>
      <c r="B71" s="11">
        <v>0.66087141360714285</v>
      </c>
    </row>
    <row r="72" spans="1:2" x14ac:dyDescent="0.3">
      <c r="A72" s="10">
        <v>67</v>
      </c>
      <c r="B72" s="11">
        <v>0.61715677372722588</v>
      </c>
    </row>
    <row r="73" spans="1:2" x14ac:dyDescent="0.3">
      <c r="A73" s="10">
        <v>68</v>
      </c>
      <c r="B73" s="11">
        <v>0.65720680436971712</v>
      </c>
    </row>
    <row r="74" spans="1:2" x14ac:dyDescent="0.3">
      <c r="A74" s="10">
        <v>69</v>
      </c>
      <c r="B74" s="11">
        <v>9.257284416657896E-2</v>
      </c>
    </row>
    <row r="75" spans="1:2" x14ac:dyDescent="0.3">
      <c r="A75" s="10">
        <v>70</v>
      </c>
      <c r="B75" s="11">
        <v>0.99029187858420176</v>
      </c>
    </row>
    <row r="76" spans="1:2" x14ac:dyDescent="0.3">
      <c r="A76" s="10">
        <v>71</v>
      </c>
      <c r="B76" s="11">
        <v>0.46054727816811891</v>
      </c>
    </row>
    <row r="77" spans="1:2" x14ac:dyDescent="0.3">
      <c r="A77" s="10">
        <v>72</v>
      </c>
      <c r="B77" s="11">
        <v>0.64392332043756217</v>
      </c>
    </row>
    <row r="78" spans="1:2" x14ac:dyDescent="0.3">
      <c r="A78" s="10">
        <v>73</v>
      </c>
      <c r="B78" s="11">
        <v>0.74705727981086145</v>
      </c>
    </row>
    <row r="79" spans="1:2" x14ac:dyDescent="0.3">
      <c r="A79" s="10">
        <v>74</v>
      </c>
      <c r="B79" s="11">
        <v>0.61922693183142774</v>
      </c>
    </row>
    <row r="80" spans="1:2" x14ac:dyDescent="0.3">
      <c r="A80" s="10">
        <v>75</v>
      </c>
      <c r="B80" s="11">
        <v>0.57134044918412941</v>
      </c>
    </row>
    <row r="81" spans="1:2" x14ac:dyDescent="0.3">
      <c r="A81" s="10">
        <v>76</v>
      </c>
      <c r="B81" s="11">
        <v>0.31420916290932532</v>
      </c>
    </row>
    <row r="82" spans="1:2" x14ac:dyDescent="0.3">
      <c r="A82" s="10">
        <v>77</v>
      </c>
      <c r="B82" s="11">
        <v>0.36650448467668062</v>
      </c>
    </row>
    <row r="83" spans="1:2" x14ac:dyDescent="0.3">
      <c r="A83" s="10">
        <v>78</v>
      </c>
      <c r="B83" s="11">
        <v>0.88977127553429591</v>
      </c>
    </row>
    <row r="84" spans="1:2" x14ac:dyDescent="0.3">
      <c r="A84" s="10">
        <v>79</v>
      </c>
      <c r="B84" s="11">
        <v>0.65498166560825344</v>
      </c>
    </row>
    <row r="85" spans="1:2" x14ac:dyDescent="0.3">
      <c r="A85" s="10">
        <v>80</v>
      </c>
      <c r="B85" s="11">
        <v>0.18826482499131858</v>
      </c>
    </row>
    <row r="86" spans="1:2" x14ac:dyDescent="0.3">
      <c r="A86" s="10">
        <v>81</v>
      </c>
      <c r="B86" s="11">
        <v>0.89605020553929227</v>
      </c>
    </row>
    <row r="87" spans="1:2" x14ac:dyDescent="0.3">
      <c r="A87" s="10">
        <v>82</v>
      </c>
      <c r="B87" s="11">
        <v>0.4151637708912258</v>
      </c>
    </row>
    <row r="88" spans="1:2" x14ac:dyDescent="0.3">
      <c r="A88" s="10">
        <v>83</v>
      </c>
      <c r="B88" s="11">
        <v>0.33334957652702102</v>
      </c>
    </row>
    <row r="89" spans="1:2" x14ac:dyDescent="0.3">
      <c r="A89" s="10">
        <v>84</v>
      </c>
      <c r="B89" s="11">
        <v>0.31342828368934594</v>
      </c>
    </row>
    <row r="90" spans="1:2" x14ac:dyDescent="0.3">
      <c r="A90" s="10">
        <v>85</v>
      </c>
      <c r="B90" s="11">
        <v>0.10428753092165932</v>
      </c>
    </row>
    <row r="91" spans="1:2" x14ac:dyDescent="0.3">
      <c r="A91" s="10">
        <v>86</v>
      </c>
      <c r="B91" s="11">
        <v>4.465385060860505E-2</v>
      </c>
    </row>
    <row r="92" spans="1:2" x14ac:dyDescent="0.3">
      <c r="A92" s="10">
        <v>87</v>
      </c>
      <c r="B92" s="11">
        <v>7.1985340362050731E-2</v>
      </c>
    </row>
    <row r="93" spans="1:2" x14ac:dyDescent="0.3">
      <c r="A93" s="10">
        <v>88</v>
      </c>
      <c r="B93" s="11">
        <v>0.33730253652221076</v>
      </c>
    </row>
    <row r="94" spans="1:2" x14ac:dyDescent="0.3">
      <c r="A94" s="10">
        <v>89</v>
      </c>
      <c r="B94" s="11">
        <v>0.76808177177457537</v>
      </c>
    </row>
    <row r="95" spans="1:2" x14ac:dyDescent="0.3">
      <c r="A95" s="10">
        <v>90</v>
      </c>
      <c r="B95" s="11">
        <v>0.15863118252357367</v>
      </c>
    </row>
    <row r="96" spans="1:2" x14ac:dyDescent="0.3">
      <c r="A96" s="10">
        <v>91</v>
      </c>
      <c r="B96" s="11">
        <v>0.64182153000861231</v>
      </c>
    </row>
    <row r="97" spans="1:2" x14ac:dyDescent="0.3">
      <c r="A97" s="10">
        <v>92</v>
      </c>
      <c r="B97" s="11">
        <v>6.9735414810401464E-2</v>
      </c>
    </row>
    <row r="98" spans="1:2" x14ac:dyDescent="0.3">
      <c r="A98" s="10">
        <v>93</v>
      </c>
      <c r="B98" s="11">
        <v>0.87752932592014021</v>
      </c>
    </row>
    <row r="99" spans="1:2" x14ac:dyDescent="0.3">
      <c r="A99" s="10">
        <v>94</v>
      </c>
      <c r="B99" s="11">
        <v>0.24041554760288741</v>
      </c>
    </row>
    <row r="100" spans="1:2" x14ac:dyDescent="0.3">
      <c r="A100" s="10">
        <v>95</v>
      </c>
      <c r="B100" s="11">
        <v>4.9633564094451743E-2</v>
      </c>
    </row>
    <row r="101" spans="1:2" x14ac:dyDescent="0.3">
      <c r="A101" s="10">
        <v>96</v>
      </c>
      <c r="B101" s="11">
        <v>0.69041105474640174</v>
      </c>
    </row>
    <row r="102" spans="1:2" x14ac:dyDescent="0.3">
      <c r="A102" s="10">
        <v>97</v>
      </c>
      <c r="B102" s="11">
        <v>0.75972420694420395</v>
      </c>
    </row>
    <row r="103" spans="1:2" x14ac:dyDescent="0.3">
      <c r="A103" s="10">
        <v>98</v>
      </c>
      <c r="B103" s="11">
        <v>0.36549962543956271</v>
      </c>
    </row>
    <row r="104" spans="1:2" x14ac:dyDescent="0.3">
      <c r="A104" s="10">
        <v>99</v>
      </c>
      <c r="B104" s="11">
        <v>0.33090726114740021</v>
      </c>
    </row>
    <row r="105" spans="1:2" ht="15" thickBot="1" x14ac:dyDescent="0.35">
      <c r="A105" s="13">
        <v>100</v>
      </c>
      <c r="B105" s="17">
        <v>0.49881048680753337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41BBE-7E18-4C25-95DC-836FB9613727}">
  <dimension ref="A4:H15"/>
  <sheetViews>
    <sheetView workbookViewId="0">
      <selection activeCell="G10" sqref="G10"/>
    </sheetView>
  </sheetViews>
  <sheetFormatPr defaultRowHeight="14.4" x14ac:dyDescent="0.3"/>
  <cols>
    <col min="1" max="1" width="19.21875" bestFit="1" customWidth="1"/>
    <col min="4" max="4" width="30.33203125" bestFit="1" customWidth="1"/>
    <col min="7" max="7" width="9.77734375" bestFit="1" customWidth="1"/>
    <col min="8" max="8" width="32.88671875" bestFit="1" customWidth="1"/>
  </cols>
  <sheetData>
    <row r="4" spans="1:8" ht="15" thickBot="1" x14ac:dyDescent="0.35"/>
    <row r="5" spans="1:8" ht="16.2" thickBot="1" x14ac:dyDescent="0.35">
      <c r="A5" s="21" t="s">
        <v>4</v>
      </c>
      <c r="B5" s="22" t="s">
        <v>5</v>
      </c>
      <c r="D5" s="18" t="s">
        <v>21</v>
      </c>
      <c r="E5" s="19" t="s">
        <v>22</v>
      </c>
    </row>
    <row r="6" spans="1:8" ht="18.600000000000001" thickBot="1" x14ac:dyDescent="0.4">
      <c r="A6" s="26" t="s">
        <v>17</v>
      </c>
      <c r="B6" s="11">
        <v>50</v>
      </c>
      <c r="D6" s="28" t="s">
        <v>23</v>
      </c>
      <c r="E6" s="29">
        <f>(B8-B6)/B7</f>
        <v>-1</v>
      </c>
      <c r="G6" s="23" t="s">
        <v>25</v>
      </c>
      <c r="H6" s="24" t="s">
        <v>26</v>
      </c>
    </row>
    <row r="7" spans="1:8" ht="16.2" thickBot="1" x14ac:dyDescent="0.35">
      <c r="A7" s="26" t="s">
        <v>18</v>
      </c>
      <c r="B7" s="11">
        <v>5</v>
      </c>
      <c r="D7" s="30" t="s">
        <v>24</v>
      </c>
      <c r="E7" s="31">
        <f>(B9-B6)/B7</f>
        <v>1</v>
      </c>
    </row>
    <row r="8" spans="1:8" ht="16.2" thickBot="1" x14ac:dyDescent="0.35">
      <c r="A8" s="26" t="s">
        <v>19</v>
      </c>
      <c r="B8" s="11">
        <v>45</v>
      </c>
    </row>
    <row r="9" spans="1:8" ht="16.2" thickBot="1" x14ac:dyDescent="0.35">
      <c r="A9" s="27" t="s">
        <v>20</v>
      </c>
      <c r="B9" s="17">
        <v>55</v>
      </c>
      <c r="D9" s="18" t="s">
        <v>27</v>
      </c>
      <c r="E9" s="9" t="s">
        <v>34</v>
      </c>
    </row>
    <row r="10" spans="1:8" ht="15.6" x14ac:dyDescent="0.3">
      <c r="D10" s="28" t="s">
        <v>28</v>
      </c>
      <c r="E10" s="20">
        <f>_xlfn.NORM.DIST(B8,B6,B7,TRUE)</f>
        <v>0.15865525393145699</v>
      </c>
    </row>
    <row r="11" spans="1:8" ht="15.6" x14ac:dyDescent="0.3">
      <c r="D11" s="28" t="s">
        <v>29</v>
      </c>
      <c r="E11" s="20">
        <f>_xlfn.NORM.DIST(B9,B6,B7,TRUE)</f>
        <v>0.84134474606854304</v>
      </c>
    </row>
    <row r="12" spans="1:8" ht="15.6" x14ac:dyDescent="0.3">
      <c r="D12" s="28" t="s">
        <v>30</v>
      </c>
      <c r="E12" s="20">
        <f>E11-E10</f>
        <v>0.68268949213708607</v>
      </c>
    </row>
    <row r="13" spans="1:8" ht="16.2" thickBot="1" x14ac:dyDescent="0.35">
      <c r="D13" s="30" t="s">
        <v>31</v>
      </c>
      <c r="E13" s="32">
        <f>E12</f>
        <v>0.68268949213708607</v>
      </c>
    </row>
    <row r="14" spans="1:8" ht="15" thickBot="1" x14ac:dyDescent="0.35"/>
    <row r="15" spans="1:8" ht="16.2" thickBot="1" x14ac:dyDescent="0.35">
      <c r="D15" s="25" t="s">
        <v>32</v>
      </c>
      <c r="E15" s="75" t="s">
        <v>33</v>
      </c>
      <c r="F15" s="75"/>
      <c r="G15" s="75"/>
      <c r="H15" s="76"/>
    </row>
  </sheetData>
  <mergeCells count="1">
    <mergeCell ref="E15:H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F1EA5-D79E-41CF-9B24-1E41A29C6D0F}">
  <dimension ref="A4:E11"/>
  <sheetViews>
    <sheetView workbookViewId="0">
      <selection activeCell="J16" sqref="J16"/>
    </sheetView>
  </sheetViews>
  <sheetFormatPr defaultRowHeight="14.4" x14ac:dyDescent="0.3"/>
  <cols>
    <col min="1" max="1" width="20" bestFit="1" customWidth="1"/>
    <col min="5" max="5" width="22.21875" bestFit="1" customWidth="1"/>
  </cols>
  <sheetData>
    <row r="4" spans="1:5" ht="15" thickBot="1" x14ac:dyDescent="0.35"/>
    <row r="5" spans="1:5" ht="15.6" x14ac:dyDescent="0.3">
      <c r="A5" s="21" t="s">
        <v>35</v>
      </c>
      <c r="B5" s="33" t="s">
        <v>17</v>
      </c>
      <c r="C5" s="33" t="s">
        <v>36</v>
      </c>
      <c r="D5" s="33" t="s">
        <v>37</v>
      </c>
      <c r="E5" s="22" t="s">
        <v>38</v>
      </c>
    </row>
    <row r="6" spans="1:5" x14ac:dyDescent="0.3">
      <c r="A6" s="10">
        <v>75</v>
      </c>
      <c r="B6" s="3">
        <v>60</v>
      </c>
      <c r="C6" s="3">
        <v>10</v>
      </c>
      <c r="D6" s="3">
        <f>(A6-B6)/C6</f>
        <v>1.5</v>
      </c>
      <c r="E6" s="34" t="s">
        <v>39</v>
      </c>
    </row>
    <row r="7" spans="1:5" x14ac:dyDescent="0.3">
      <c r="A7" s="10">
        <v>50</v>
      </c>
      <c r="B7" s="3">
        <v>60</v>
      </c>
      <c r="C7" s="3">
        <v>10</v>
      </c>
      <c r="D7" s="3">
        <f>(A7-B7)/C7</f>
        <v>-1</v>
      </c>
      <c r="E7" s="11" t="s">
        <v>40</v>
      </c>
    </row>
    <row r="8" spans="1:5" x14ac:dyDescent="0.3">
      <c r="A8" s="10">
        <v>60</v>
      </c>
      <c r="B8" s="3">
        <v>60</v>
      </c>
      <c r="C8" s="3">
        <v>10</v>
      </c>
      <c r="D8" s="3">
        <f>(A8-B8)/C8</f>
        <v>0</v>
      </c>
      <c r="E8" s="11" t="s">
        <v>41</v>
      </c>
    </row>
    <row r="9" spans="1:5" ht="15" thickBot="1" x14ac:dyDescent="0.35">
      <c r="A9" s="13">
        <v>90</v>
      </c>
      <c r="B9" s="35">
        <v>60</v>
      </c>
      <c r="C9" s="35">
        <v>10</v>
      </c>
      <c r="D9" s="35">
        <f>(A9-B9)/C9</f>
        <v>3</v>
      </c>
      <c r="E9" s="17" t="s">
        <v>42</v>
      </c>
    </row>
    <row r="10" spans="1:5" ht="15" thickBot="1" x14ac:dyDescent="0.35"/>
    <row r="11" spans="1:5" ht="16.2" thickBot="1" x14ac:dyDescent="0.35">
      <c r="A11" s="36" t="s">
        <v>43</v>
      </c>
      <c r="B11" s="77" t="s">
        <v>44</v>
      </c>
      <c r="C11" s="78"/>
      <c r="D11" s="79"/>
    </row>
  </sheetData>
  <mergeCells count="1">
    <mergeCell ref="B11:D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CCF4E-3A0F-48D5-93BE-A9835C344526}">
  <dimension ref="A3:G15"/>
  <sheetViews>
    <sheetView workbookViewId="0">
      <selection activeCell="D29" sqref="D29"/>
    </sheetView>
  </sheetViews>
  <sheetFormatPr defaultRowHeight="14.4" x14ac:dyDescent="0.3"/>
  <cols>
    <col min="1" max="1" width="18.109375" bestFit="1" customWidth="1"/>
    <col min="2" max="2" width="16.33203125" bestFit="1" customWidth="1"/>
    <col min="3" max="3" width="17.21875" bestFit="1" customWidth="1"/>
    <col min="4" max="4" width="31.77734375" bestFit="1" customWidth="1"/>
    <col min="5" max="5" width="17.6640625" bestFit="1" customWidth="1"/>
  </cols>
  <sheetData>
    <row r="3" spans="1:7" ht="15" thickBot="1" x14ac:dyDescent="0.35"/>
    <row r="4" spans="1:7" ht="18" x14ac:dyDescent="0.35">
      <c r="A4" s="52" t="s">
        <v>45</v>
      </c>
      <c r="B4" s="80" t="s">
        <v>46</v>
      </c>
      <c r="C4" s="80"/>
      <c r="D4" s="81"/>
      <c r="E4" s="38"/>
      <c r="F4" s="38"/>
      <c r="G4" s="38"/>
    </row>
    <row r="5" spans="1:7" ht="16.2" thickBot="1" x14ac:dyDescent="0.35">
      <c r="A5" s="30" t="s">
        <v>47</v>
      </c>
      <c r="B5" s="82" t="s">
        <v>48</v>
      </c>
      <c r="C5" s="82"/>
      <c r="D5" s="83"/>
      <c r="E5" s="51"/>
      <c r="F5" s="51"/>
      <c r="G5" s="51"/>
    </row>
    <row r="6" spans="1:7" ht="15" thickBot="1" x14ac:dyDescent="0.35"/>
    <row r="7" spans="1:7" ht="18" x14ac:dyDescent="0.35">
      <c r="A7" s="39" t="s">
        <v>49</v>
      </c>
      <c r="B7" s="40" t="s">
        <v>50</v>
      </c>
      <c r="C7" s="40" t="s">
        <v>51</v>
      </c>
      <c r="D7" s="40" t="s">
        <v>52</v>
      </c>
      <c r="E7" s="41" t="s">
        <v>53</v>
      </c>
    </row>
    <row r="8" spans="1:7" x14ac:dyDescent="0.3">
      <c r="A8" s="10" t="s">
        <v>54</v>
      </c>
      <c r="B8" s="3">
        <v>3</v>
      </c>
      <c r="C8" s="3">
        <v>0</v>
      </c>
      <c r="D8" s="3" t="s">
        <v>55</v>
      </c>
      <c r="E8" s="11" t="s">
        <v>56</v>
      </c>
    </row>
    <row r="9" spans="1:7" x14ac:dyDescent="0.3">
      <c r="A9" s="10" t="s">
        <v>57</v>
      </c>
      <c r="B9" s="3" t="s">
        <v>58</v>
      </c>
      <c r="C9" s="3" t="s">
        <v>59</v>
      </c>
      <c r="D9" s="3" t="s">
        <v>60</v>
      </c>
      <c r="E9" s="11" t="s">
        <v>61</v>
      </c>
    </row>
    <row r="10" spans="1:7" ht="15" thickBot="1" x14ac:dyDescent="0.35">
      <c r="A10" s="13" t="s">
        <v>62</v>
      </c>
      <c r="B10" s="35" t="s">
        <v>63</v>
      </c>
      <c r="C10" s="35" t="s">
        <v>64</v>
      </c>
      <c r="D10" s="35" t="s">
        <v>65</v>
      </c>
      <c r="E10" s="17" t="s">
        <v>66</v>
      </c>
    </row>
    <row r="11" spans="1:7" ht="15" thickBot="1" x14ac:dyDescent="0.35"/>
    <row r="12" spans="1:7" ht="15.6" x14ac:dyDescent="0.3">
      <c r="A12" s="18" t="s">
        <v>67</v>
      </c>
      <c r="B12" s="45" t="s">
        <v>68</v>
      </c>
      <c r="C12" s="45" t="s">
        <v>69</v>
      </c>
      <c r="D12" s="19" t="s">
        <v>70</v>
      </c>
    </row>
    <row r="13" spans="1:7" x14ac:dyDescent="0.3">
      <c r="A13" s="46" t="s">
        <v>54</v>
      </c>
      <c r="B13" s="44" t="s">
        <v>71</v>
      </c>
      <c r="C13" s="44" t="s">
        <v>72</v>
      </c>
      <c r="D13" s="47" t="s">
        <v>71</v>
      </c>
    </row>
    <row r="14" spans="1:7" x14ac:dyDescent="0.3">
      <c r="A14" s="46" t="s">
        <v>57</v>
      </c>
      <c r="B14" s="44" t="s">
        <v>73</v>
      </c>
      <c r="C14" s="44" t="s">
        <v>74</v>
      </c>
      <c r="D14" s="47" t="s">
        <v>75</v>
      </c>
    </row>
    <row r="15" spans="1:7" ht="15" thickBot="1" x14ac:dyDescent="0.35">
      <c r="A15" s="48" t="s">
        <v>62</v>
      </c>
      <c r="B15" s="49" t="s">
        <v>76</v>
      </c>
      <c r="C15" s="49" t="s">
        <v>77</v>
      </c>
      <c r="D15" s="50" t="s">
        <v>78</v>
      </c>
    </row>
  </sheetData>
  <mergeCells count="2">
    <mergeCell ref="B4:D4"/>
    <mergeCell ref="B5:D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FAD85-A525-4AFC-A2D5-B45B067C78F5}">
  <dimension ref="A4:I19"/>
  <sheetViews>
    <sheetView workbookViewId="0">
      <selection activeCell="K19" sqref="K19"/>
    </sheetView>
  </sheetViews>
  <sheetFormatPr defaultRowHeight="14.4" x14ac:dyDescent="0.3"/>
  <cols>
    <col min="1" max="1" width="22.88671875" bestFit="1" customWidth="1"/>
    <col min="2" max="2" width="15" bestFit="1" customWidth="1"/>
    <col min="4" max="4" width="9.88671875" customWidth="1"/>
    <col min="8" max="8" width="9.6640625" bestFit="1" customWidth="1"/>
    <col min="9" max="9" width="11.33203125" bestFit="1" customWidth="1"/>
  </cols>
  <sheetData>
    <row r="4" spans="1:9" ht="15.6" x14ac:dyDescent="0.3">
      <c r="A4" s="92" t="s">
        <v>79</v>
      </c>
      <c r="B4" s="92"/>
      <c r="C4" s="92"/>
      <c r="D4" s="92"/>
    </row>
    <row r="5" spans="1:9" ht="15" thickBot="1" x14ac:dyDescent="0.35"/>
    <row r="6" spans="1:9" ht="16.2" thickBot="1" x14ac:dyDescent="0.35">
      <c r="A6" s="54" t="s">
        <v>80</v>
      </c>
      <c r="B6" s="95" t="s">
        <v>81</v>
      </c>
      <c r="C6" s="96"/>
      <c r="D6" s="96"/>
      <c r="E6" s="97"/>
      <c r="G6" s="59" t="s">
        <v>106</v>
      </c>
      <c r="H6" s="60" t="s">
        <v>107</v>
      </c>
      <c r="I6" s="61" t="s">
        <v>108</v>
      </c>
    </row>
    <row r="7" spans="1:9" x14ac:dyDescent="0.3">
      <c r="A7" s="55" t="s">
        <v>82</v>
      </c>
      <c r="B7" s="93" t="s">
        <v>83</v>
      </c>
      <c r="C7" s="93"/>
      <c r="D7" s="93"/>
      <c r="E7" s="93"/>
      <c r="G7" s="57">
        <v>1</v>
      </c>
      <c r="H7" s="4">
        <f>1/6</f>
        <v>0.16666666666666666</v>
      </c>
      <c r="I7" s="58">
        <f>H7</f>
        <v>0.16666666666666666</v>
      </c>
    </row>
    <row r="8" spans="1:9" x14ac:dyDescent="0.3">
      <c r="A8" s="55" t="s">
        <v>84</v>
      </c>
      <c r="B8" s="93" t="s">
        <v>85</v>
      </c>
      <c r="C8" s="93"/>
      <c r="D8" s="93"/>
      <c r="E8" s="93"/>
      <c r="G8" s="10">
        <v>2</v>
      </c>
      <c r="H8" s="3">
        <f t="shared" ref="H8:H12" si="0">1/6</f>
        <v>0.16666666666666666</v>
      </c>
      <c r="I8" s="56">
        <f t="shared" ref="I8:I12" si="1">H8</f>
        <v>0.16666666666666666</v>
      </c>
    </row>
    <row r="9" spans="1:9" x14ac:dyDescent="0.3">
      <c r="A9" s="55" t="s">
        <v>86</v>
      </c>
      <c r="B9" s="94" t="s">
        <v>87</v>
      </c>
      <c r="C9" s="94"/>
      <c r="D9" s="94"/>
      <c r="E9" s="94"/>
      <c r="G9" s="10">
        <v>3</v>
      </c>
      <c r="H9" s="3">
        <f t="shared" si="0"/>
        <v>0.16666666666666666</v>
      </c>
      <c r="I9" s="56">
        <f t="shared" si="1"/>
        <v>0.16666666666666666</v>
      </c>
    </row>
    <row r="10" spans="1:9" x14ac:dyDescent="0.3">
      <c r="A10" s="55" t="s">
        <v>88</v>
      </c>
      <c r="B10" s="93" t="s">
        <v>89</v>
      </c>
      <c r="C10" s="93"/>
      <c r="D10" s="93"/>
      <c r="E10" s="93"/>
      <c r="G10" s="10">
        <v>4</v>
      </c>
      <c r="H10" s="3">
        <f t="shared" si="0"/>
        <v>0.16666666666666666</v>
      </c>
      <c r="I10" s="56">
        <f t="shared" si="1"/>
        <v>0.16666666666666666</v>
      </c>
    </row>
    <row r="11" spans="1:9" x14ac:dyDescent="0.3">
      <c r="A11" s="55" t="s">
        <v>90</v>
      </c>
      <c r="B11" s="93" t="s">
        <v>91</v>
      </c>
      <c r="C11" s="93"/>
      <c r="D11" s="93"/>
      <c r="E11" s="93"/>
      <c r="G11" s="10">
        <v>5</v>
      </c>
      <c r="H11" s="3">
        <f t="shared" si="0"/>
        <v>0.16666666666666666</v>
      </c>
      <c r="I11" s="56">
        <f t="shared" si="1"/>
        <v>0.16666666666666666</v>
      </c>
    </row>
    <row r="12" spans="1:9" ht="15" thickBot="1" x14ac:dyDescent="0.35">
      <c r="G12" s="13">
        <v>6</v>
      </c>
      <c r="H12" s="35">
        <f t="shared" si="0"/>
        <v>0.16666666666666666</v>
      </c>
      <c r="I12" s="14">
        <f t="shared" si="1"/>
        <v>0.16666666666666666</v>
      </c>
    </row>
    <row r="13" spans="1:9" ht="16.2" thickBot="1" x14ac:dyDescent="0.35">
      <c r="A13" s="59" t="s">
        <v>92</v>
      </c>
      <c r="B13" s="60" t="s">
        <v>25</v>
      </c>
      <c r="C13" s="86" t="s">
        <v>93</v>
      </c>
      <c r="D13" s="87"/>
    </row>
    <row r="14" spans="1:9" x14ac:dyDescent="0.3">
      <c r="A14" s="64" t="s">
        <v>94</v>
      </c>
      <c r="B14" s="63" t="s">
        <v>95</v>
      </c>
      <c r="C14" s="88">
        <f>(1+2+3+4+5+6)/6</f>
        <v>3.5</v>
      </c>
      <c r="D14" s="89"/>
    </row>
    <row r="15" spans="1:9" x14ac:dyDescent="0.3">
      <c r="A15" s="46" t="s">
        <v>96</v>
      </c>
      <c r="B15" s="62" t="s">
        <v>97</v>
      </c>
      <c r="C15" s="90">
        <v>1</v>
      </c>
      <c r="D15" s="91"/>
    </row>
    <row r="16" spans="1:9" x14ac:dyDescent="0.3">
      <c r="A16" s="46" t="s">
        <v>98</v>
      </c>
      <c r="B16" s="62" t="s">
        <v>99</v>
      </c>
      <c r="C16" s="90">
        <v>6</v>
      </c>
      <c r="D16" s="91"/>
    </row>
    <row r="17" spans="1:4" x14ac:dyDescent="0.3">
      <c r="A17" s="46" t="s">
        <v>100</v>
      </c>
      <c r="B17" s="62" t="s">
        <v>101</v>
      </c>
      <c r="C17" s="90">
        <v>6</v>
      </c>
      <c r="D17" s="91"/>
    </row>
    <row r="18" spans="1:4" x14ac:dyDescent="0.3">
      <c r="A18" s="46" t="s">
        <v>102</v>
      </c>
      <c r="B18" s="44" t="s">
        <v>103</v>
      </c>
      <c r="C18" s="90">
        <f>1/6</f>
        <v>0.16666666666666666</v>
      </c>
      <c r="D18" s="91"/>
    </row>
    <row r="19" spans="1:4" ht="15" thickBot="1" x14ac:dyDescent="0.35">
      <c r="A19" s="48" t="s">
        <v>104</v>
      </c>
      <c r="B19" s="65" t="s">
        <v>105</v>
      </c>
      <c r="C19" s="84">
        <f>(6^2-1)/12</f>
        <v>2.9166666666666665</v>
      </c>
      <c r="D19" s="85"/>
    </row>
  </sheetData>
  <mergeCells count="14">
    <mergeCell ref="B11:E11"/>
    <mergeCell ref="B6:E6"/>
    <mergeCell ref="A4:D4"/>
    <mergeCell ref="B8:E8"/>
    <mergeCell ref="B7:E7"/>
    <mergeCell ref="B9:E9"/>
    <mergeCell ref="B10:E10"/>
    <mergeCell ref="C19:D19"/>
    <mergeCell ref="C13:D13"/>
    <mergeCell ref="C14:D14"/>
    <mergeCell ref="C15:D15"/>
    <mergeCell ref="C16:D16"/>
    <mergeCell ref="C18:D18"/>
    <mergeCell ref="C17:D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1938-AD5E-42D0-8FB0-B5B9D05F076E}">
  <dimension ref="A4:E31"/>
  <sheetViews>
    <sheetView workbookViewId="0">
      <selection activeCell="F40" sqref="F40"/>
    </sheetView>
  </sheetViews>
  <sheetFormatPr defaultRowHeight="14.4" x14ac:dyDescent="0.3"/>
  <cols>
    <col min="1" max="1" width="40.6640625" bestFit="1" customWidth="1"/>
    <col min="4" max="4" width="90.77734375" bestFit="1" customWidth="1"/>
    <col min="5" max="5" width="8.88671875" style="37"/>
  </cols>
  <sheetData>
    <row r="4" spans="1:3" ht="15.6" x14ac:dyDescent="0.3">
      <c r="A4" s="42" t="s">
        <v>4</v>
      </c>
      <c r="B4" s="42" t="s">
        <v>109</v>
      </c>
      <c r="C4" s="42" t="s">
        <v>5</v>
      </c>
    </row>
    <row r="5" spans="1:3" x14ac:dyDescent="0.3">
      <c r="A5" s="62" t="s">
        <v>110</v>
      </c>
      <c r="B5" s="62" t="s">
        <v>101</v>
      </c>
      <c r="C5" s="62">
        <v>15</v>
      </c>
    </row>
    <row r="6" spans="1:3" x14ac:dyDescent="0.3">
      <c r="A6" s="62" t="s">
        <v>111</v>
      </c>
      <c r="B6" s="62" t="s">
        <v>112</v>
      </c>
      <c r="C6" s="62">
        <v>0.5</v>
      </c>
    </row>
    <row r="7" spans="1:3" ht="15" thickBot="1" x14ac:dyDescent="0.35">
      <c r="A7" s="66" t="s">
        <v>113</v>
      </c>
      <c r="B7" s="66" t="s">
        <v>114</v>
      </c>
      <c r="C7" s="62">
        <v>8</v>
      </c>
    </row>
    <row r="8" spans="1:3" ht="15" thickBot="1" x14ac:dyDescent="0.35">
      <c r="A8" s="67" t="s">
        <v>115</v>
      </c>
      <c r="B8" s="68" t="s">
        <v>116</v>
      </c>
    </row>
    <row r="10" spans="1:3" ht="15.6" x14ac:dyDescent="0.3">
      <c r="A10" s="2" t="s">
        <v>117</v>
      </c>
    </row>
    <row r="11" spans="1:3" x14ac:dyDescent="0.3">
      <c r="A11" s="43" t="s">
        <v>118</v>
      </c>
      <c r="B11" s="62">
        <f>_xlfn.BINOM.DIST(7,C5,C6,TRUE)</f>
        <v>0.5</v>
      </c>
    </row>
    <row r="12" spans="1:3" x14ac:dyDescent="0.3">
      <c r="A12" s="43" t="s">
        <v>119</v>
      </c>
      <c r="B12" s="62">
        <f>1-B11</f>
        <v>0.5</v>
      </c>
    </row>
    <row r="13" spans="1:3" x14ac:dyDescent="0.3">
      <c r="A13" s="43" t="s">
        <v>120</v>
      </c>
      <c r="B13" s="62">
        <f>B12</f>
        <v>0.5</v>
      </c>
    </row>
    <row r="14" spans="1:3" x14ac:dyDescent="0.3">
      <c r="A14" s="43" t="s">
        <v>10</v>
      </c>
      <c r="B14" s="69">
        <f>B13</f>
        <v>0.5</v>
      </c>
    </row>
    <row r="16" spans="1:3" ht="15.6" x14ac:dyDescent="0.3">
      <c r="A16" s="2" t="s">
        <v>121</v>
      </c>
    </row>
    <row r="17" spans="1:5" x14ac:dyDescent="0.3">
      <c r="A17" s="43" t="s">
        <v>122</v>
      </c>
      <c r="B17" s="62">
        <f>_xlfn.BINOM.DIST(15,C5,C6,TRUE)</f>
        <v>1</v>
      </c>
    </row>
    <row r="18" spans="1:5" x14ac:dyDescent="0.3">
      <c r="A18" s="43" t="s">
        <v>118</v>
      </c>
      <c r="B18" s="62">
        <f>_xlfn.BINOM.DIST(7,C5,C6,TRUE)</f>
        <v>0.5</v>
      </c>
    </row>
    <row r="19" spans="1:5" x14ac:dyDescent="0.3">
      <c r="A19" s="43" t="s">
        <v>123</v>
      </c>
      <c r="B19" s="62">
        <f>B17-B18</f>
        <v>0.5</v>
      </c>
    </row>
    <row r="21" spans="1:5" ht="16.2" thickBot="1" x14ac:dyDescent="0.35">
      <c r="A21" s="2" t="s">
        <v>124</v>
      </c>
    </row>
    <row r="22" spans="1:5" ht="15" thickBot="1" x14ac:dyDescent="0.35">
      <c r="A22" s="72" t="s">
        <v>125</v>
      </c>
      <c r="B22" s="73" t="s">
        <v>126</v>
      </c>
    </row>
    <row r="23" spans="1:5" x14ac:dyDescent="0.3">
      <c r="A23" s="4">
        <v>8</v>
      </c>
      <c r="B23" s="4">
        <f>_xlfn.BINOM.DIST(A23,$C$5,$C$6,FALSE)</f>
        <v>0.19638061523437506</v>
      </c>
    </row>
    <row r="24" spans="1:5" ht="15.6" x14ac:dyDescent="0.3">
      <c r="A24" s="3">
        <v>9</v>
      </c>
      <c r="B24" s="3">
        <f t="shared" ref="B24:B30" si="0">_xlfn.BINOM.DIST(A24,$C$5,$C$6,FALSE)</f>
        <v>0.152740478515625</v>
      </c>
      <c r="D24" s="2" t="s">
        <v>128</v>
      </c>
    </row>
    <row r="25" spans="1:5" x14ac:dyDescent="0.3">
      <c r="A25" s="3">
        <v>10</v>
      </c>
      <c r="B25" s="3">
        <f t="shared" si="0"/>
        <v>9.1644287109375042E-2</v>
      </c>
      <c r="D25" t="s">
        <v>129</v>
      </c>
      <c r="E25" s="37">
        <f>B12</f>
        <v>0.5</v>
      </c>
    </row>
    <row r="26" spans="1:5" x14ac:dyDescent="0.3">
      <c r="A26" s="3">
        <v>11</v>
      </c>
      <c r="B26" s="3">
        <f t="shared" si="0"/>
        <v>4.1656494140625021E-2</v>
      </c>
      <c r="D26" t="s">
        <v>10</v>
      </c>
      <c r="E26" s="74">
        <f>B14</f>
        <v>0.5</v>
      </c>
    </row>
    <row r="27" spans="1:5" x14ac:dyDescent="0.3">
      <c r="A27" s="3">
        <v>12</v>
      </c>
      <c r="B27" s="3">
        <f t="shared" si="0"/>
        <v>1.3885498046874986E-2</v>
      </c>
    </row>
    <row r="28" spans="1:5" ht="15.6" x14ac:dyDescent="0.3">
      <c r="A28" s="3">
        <v>13</v>
      </c>
      <c r="B28" s="3">
        <f t="shared" si="0"/>
        <v>3.2043457031250035E-3</v>
      </c>
      <c r="D28" s="2" t="s">
        <v>130</v>
      </c>
    </row>
    <row r="29" spans="1:5" x14ac:dyDescent="0.3">
      <c r="A29" s="3">
        <v>14</v>
      </c>
      <c r="B29" s="3">
        <f t="shared" si="0"/>
        <v>4.5776367187500022E-4</v>
      </c>
      <c r="D29" t="s">
        <v>131</v>
      </c>
    </row>
    <row r="30" spans="1:5" ht="15" thickBot="1" x14ac:dyDescent="0.35">
      <c r="A30" s="7">
        <v>15</v>
      </c>
      <c r="B30" s="7">
        <f t="shared" si="0"/>
        <v>3.0517578125000014E-5</v>
      </c>
    </row>
    <row r="31" spans="1:5" ht="15" thickBot="1" x14ac:dyDescent="0.35">
      <c r="A31" s="70" t="s">
        <v>127</v>
      </c>
      <c r="B31" s="71">
        <f>SUM(B23:B30)</f>
        <v>0.50000000000000011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15AF2-96A8-4B07-8EBC-FD036504A120}">
  <dimension ref="A4:D48"/>
  <sheetViews>
    <sheetView tabSelected="1" topLeftCell="A13" workbookViewId="0">
      <selection activeCell="D42" sqref="D42"/>
    </sheetView>
  </sheetViews>
  <sheetFormatPr defaultRowHeight="14.4" x14ac:dyDescent="0.3"/>
  <cols>
    <col min="1" max="1" width="49.6640625" customWidth="1"/>
    <col min="2" max="2" width="21.77734375" customWidth="1"/>
    <col min="3" max="3" width="19" bestFit="1" customWidth="1"/>
    <col min="4" max="4" width="11.6640625" bestFit="1" customWidth="1"/>
  </cols>
  <sheetData>
    <row r="4" spans="1:4" ht="15.6" x14ac:dyDescent="0.3">
      <c r="A4" s="2" t="s">
        <v>132</v>
      </c>
    </row>
    <row r="6" spans="1:4" ht="15.6" x14ac:dyDescent="0.3">
      <c r="A6" s="42" t="s">
        <v>133</v>
      </c>
      <c r="B6" s="42" t="s">
        <v>52</v>
      </c>
      <c r="C6" s="62"/>
      <c r="D6" s="62"/>
    </row>
    <row r="7" spans="1:4" x14ac:dyDescent="0.3">
      <c r="A7" s="43" t="s">
        <v>134</v>
      </c>
      <c r="B7" s="62" t="s">
        <v>135</v>
      </c>
      <c r="C7" s="62"/>
      <c r="D7" s="62"/>
    </row>
    <row r="8" spans="1:4" x14ac:dyDescent="0.3">
      <c r="A8" s="43" t="s">
        <v>136</v>
      </c>
      <c r="B8" s="44" t="s">
        <v>137</v>
      </c>
      <c r="C8" s="62"/>
      <c r="D8" s="62"/>
    </row>
    <row r="10" spans="1:4" ht="15.6" x14ac:dyDescent="0.3">
      <c r="A10" s="2" t="s">
        <v>138</v>
      </c>
    </row>
    <row r="12" spans="1:4" ht="15.6" x14ac:dyDescent="0.3">
      <c r="A12" s="42" t="s">
        <v>139</v>
      </c>
      <c r="B12" s="42" t="s">
        <v>140</v>
      </c>
      <c r="C12" s="42" t="s">
        <v>141</v>
      </c>
      <c r="D12" s="42" t="s">
        <v>142</v>
      </c>
    </row>
    <row r="13" spans="1:4" x14ac:dyDescent="0.3">
      <c r="A13" s="62">
        <v>1</v>
      </c>
      <c r="B13" s="62">
        <v>10</v>
      </c>
      <c r="C13" s="62">
        <f>LOG10(B13)</f>
        <v>1</v>
      </c>
      <c r="D13" s="62">
        <f>LN(B13)</f>
        <v>2.3025850929940459</v>
      </c>
    </row>
    <row r="14" spans="1:4" x14ac:dyDescent="0.3">
      <c r="A14" s="62">
        <v>2</v>
      </c>
      <c r="B14" s="62">
        <v>100</v>
      </c>
      <c r="C14" s="62">
        <f t="shared" ref="C14:C16" si="0">LOG10(B14)</f>
        <v>2</v>
      </c>
      <c r="D14" s="62">
        <f t="shared" ref="D14:D16" si="1">LN(B14)</f>
        <v>4.6051701859880918</v>
      </c>
    </row>
    <row r="15" spans="1:4" x14ac:dyDescent="0.3">
      <c r="A15" s="62">
        <v>3</v>
      </c>
      <c r="B15" s="62">
        <v>1000</v>
      </c>
      <c r="C15" s="62">
        <f t="shared" si="0"/>
        <v>3</v>
      </c>
      <c r="D15" s="62">
        <f t="shared" si="1"/>
        <v>6.9077552789821368</v>
      </c>
    </row>
    <row r="16" spans="1:4" x14ac:dyDescent="0.3">
      <c r="A16" s="62">
        <v>4</v>
      </c>
      <c r="B16" s="62">
        <v>10000</v>
      </c>
      <c r="C16" s="62">
        <f t="shared" si="0"/>
        <v>4</v>
      </c>
      <c r="D16" s="62">
        <f t="shared" si="1"/>
        <v>9.2103403719761836</v>
      </c>
    </row>
    <row r="18" spans="1:4" ht="15.6" x14ac:dyDescent="0.3">
      <c r="A18" s="42" t="s">
        <v>14</v>
      </c>
      <c r="B18" s="42" t="s">
        <v>140</v>
      </c>
      <c r="C18" s="42" t="s">
        <v>143</v>
      </c>
      <c r="D18" s="42" t="s">
        <v>142</v>
      </c>
    </row>
    <row r="19" spans="1:4" x14ac:dyDescent="0.3">
      <c r="A19" s="62" t="s">
        <v>17</v>
      </c>
      <c r="B19" s="62">
        <f>AVERAGE(B13:B16)</f>
        <v>2777.5</v>
      </c>
      <c r="C19" s="62">
        <f>AVERAGE(C13:C16)</f>
        <v>2.5</v>
      </c>
      <c r="D19" s="62">
        <f>AVERAGE(D13:D16)</f>
        <v>5.7564627324851143</v>
      </c>
    </row>
    <row r="20" spans="1:4" x14ac:dyDescent="0.3">
      <c r="A20" s="62" t="s">
        <v>18</v>
      </c>
      <c r="B20" s="62">
        <f>_xlfn.STDEV.P(B13:B16)</f>
        <v>4187.8417770971246</v>
      </c>
      <c r="C20" s="62">
        <f>_xlfn.STDEV.P(C13:C16)</f>
        <v>1.1180339887498949</v>
      </c>
      <c r="D20" s="62">
        <f>_xlfn.STDEV.P(D13:D16)</f>
        <v>2.5743683959561814</v>
      </c>
    </row>
    <row r="21" spans="1:4" x14ac:dyDescent="0.3">
      <c r="A21" s="99" t="s">
        <v>104</v>
      </c>
      <c r="B21" s="62">
        <f>_xlfn.VAR.S(B13:B16)</f>
        <v>23384025</v>
      </c>
      <c r="C21" s="62">
        <f>_xlfn.VAR.S(C13:C16)</f>
        <v>1.6666666666666667</v>
      </c>
      <c r="D21" s="62">
        <f>_xlfn.VAR.S(D13:D16)</f>
        <v>8.8364968507973369</v>
      </c>
    </row>
    <row r="22" spans="1:4" x14ac:dyDescent="0.3">
      <c r="A22" s="62" t="s">
        <v>144</v>
      </c>
      <c r="B22" s="62">
        <f>MAX(B13:B16)-MIN(B13:B16)</f>
        <v>9990</v>
      </c>
      <c r="C22" s="62">
        <f>MAX(C13:C16)-MIN(C13:C16)</f>
        <v>3</v>
      </c>
      <c r="D22" s="62">
        <f>MAX(D13:D16)-MIN(D13:D16)</f>
        <v>6.9077552789821377</v>
      </c>
    </row>
    <row r="24" spans="1:4" ht="15.6" x14ac:dyDescent="0.3">
      <c r="A24" s="42" t="s">
        <v>145</v>
      </c>
      <c r="B24" s="100" t="s">
        <v>81</v>
      </c>
      <c r="C24" s="101"/>
      <c r="D24" s="102"/>
    </row>
    <row r="25" spans="1:4" x14ac:dyDescent="0.3">
      <c r="A25" s="43" t="s">
        <v>146</v>
      </c>
      <c r="B25" s="62" t="s">
        <v>147</v>
      </c>
      <c r="C25" s="62"/>
      <c r="D25" s="62"/>
    </row>
    <row r="26" spans="1:4" x14ac:dyDescent="0.3">
      <c r="A26" s="43" t="s">
        <v>148</v>
      </c>
      <c r="B26" s="62" t="s">
        <v>149</v>
      </c>
      <c r="C26" s="62"/>
      <c r="D26" s="62"/>
    </row>
    <row r="27" spans="1:4" x14ac:dyDescent="0.3">
      <c r="A27" s="43" t="s">
        <v>150</v>
      </c>
      <c r="B27" s="103" t="s">
        <v>151</v>
      </c>
      <c r="C27" s="104"/>
      <c r="D27" s="105"/>
    </row>
    <row r="28" spans="1:4" x14ac:dyDescent="0.3">
      <c r="A28" s="43" t="s">
        <v>152</v>
      </c>
      <c r="B28" s="62" t="s">
        <v>153</v>
      </c>
      <c r="C28" s="62"/>
      <c r="D28" s="62"/>
    </row>
    <row r="29" spans="1:4" x14ac:dyDescent="0.3">
      <c r="A29" s="43" t="s">
        <v>154</v>
      </c>
      <c r="B29" s="62" t="s">
        <v>155</v>
      </c>
      <c r="C29" s="62"/>
      <c r="D29" s="62"/>
    </row>
    <row r="31" spans="1:4" ht="15.6" x14ac:dyDescent="0.3">
      <c r="A31" s="2" t="s">
        <v>156</v>
      </c>
    </row>
    <row r="32" spans="1:4" ht="15.6" x14ac:dyDescent="0.3">
      <c r="A32" s="42" t="s">
        <v>157</v>
      </c>
      <c r="B32" s="42" t="s">
        <v>158</v>
      </c>
    </row>
    <row r="33" spans="1:3" x14ac:dyDescent="0.3">
      <c r="A33" s="43" t="s">
        <v>159</v>
      </c>
      <c r="B33" s="44" t="s">
        <v>160</v>
      </c>
    </row>
    <row r="34" spans="1:3" x14ac:dyDescent="0.3">
      <c r="A34" s="43" t="s">
        <v>161</v>
      </c>
      <c r="B34" s="62" t="s">
        <v>160</v>
      </c>
    </row>
    <row r="35" spans="1:3" x14ac:dyDescent="0.3">
      <c r="A35" s="43" t="s">
        <v>162</v>
      </c>
      <c r="B35" s="62" t="s">
        <v>160</v>
      </c>
    </row>
    <row r="36" spans="1:3" x14ac:dyDescent="0.3">
      <c r="A36" s="43" t="s">
        <v>163</v>
      </c>
      <c r="B36" s="62" t="s">
        <v>160</v>
      </c>
    </row>
    <row r="37" spans="1:3" x14ac:dyDescent="0.3">
      <c r="A37" s="43" t="s">
        <v>164</v>
      </c>
      <c r="B37" s="62" t="s">
        <v>165</v>
      </c>
    </row>
    <row r="38" spans="1:3" x14ac:dyDescent="0.3">
      <c r="A38" s="43" t="s">
        <v>166</v>
      </c>
      <c r="B38" s="62" t="s">
        <v>167</v>
      </c>
    </row>
    <row r="40" spans="1:3" ht="15.6" x14ac:dyDescent="0.3">
      <c r="A40" s="2" t="s">
        <v>168</v>
      </c>
    </row>
    <row r="41" spans="1:3" x14ac:dyDescent="0.3">
      <c r="A41" s="53">
        <v>1</v>
      </c>
      <c r="B41" s="53" t="s">
        <v>169</v>
      </c>
      <c r="C41" s="98"/>
    </row>
    <row r="42" spans="1:3" x14ac:dyDescent="0.3">
      <c r="A42" s="53">
        <v>2</v>
      </c>
      <c r="B42" s="53" t="s">
        <v>170</v>
      </c>
    </row>
    <row r="43" spans="1:3" x14ac:dyDescent="0.3">
      <c r="A43" s="53">
        <v>3</v>
      </c>
      <c r="B43" s="53" t="s">
        <v>171</v>
      </c>
    </row>
    <row r="44" spans="1:3" x14ac:dyDescent="0.3">
      <c r="A44" s="53">
        <v>4</v>
      </c>
      <c r="B44" s="53" t="s">
        <v>172</v>
      </c>
    </row>
    <row r="45" spans="1:3" x14ac:dyDescent="0.3">
      <c r="A45" s="53">
        <v>5</v>
      </c>
      <c r="B45" s="53" t="s">
        <v>173</v>
      </c>
    </row>
    <row r="46" spans="1:3" x14ac:dyDescent="0.3">
      <c r="A46" s="53">
        <v>6</v>
      </c>
      <c r="B46" s="53" t="s">
        <v>174</v>
      </c>
    </row>
    <row r="47" spans="1:3" x14ac:dyDescent="0.3">
      <c r="A47" s="53">
        <v>7</v>
      </c>
      <c r="B47" s="53" t="s">
        <v>175</v>
      </c>
    </row>
    <row r="48" spans="1:3" x14ac:dyDescent="0.3">
      <c r="A48" s="53">
        <v>8</v>
      </c>
      <c r="B48" s="53" t="s">
        <v>176</v>
      </c>
    </row>
  </sheetData>
  <mergeCells count="2">
    <mergeCell ref="B24:D24"/>
    <mergeCell ref="B27:D2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Question 4</vt:lpstr>
      <vt:lpstr>Question 5</vt:lpstr>
      <vt:lpstr>Question 6</vt:lpstr>
      <vt:lpstr>Question 7</vt:lpstr>
      <vt:lpstr>Question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Singh</dc:creator>
  <cp:lastModifiedBy>Ayush Singh</cp:lastModifiedBy>
  <dcterms:created xsi:type="dcterms:W3CDTF">2026-01-08T11:30:16Z</dcterms:created>
  <dcterms:modified xsi:type="dcterms:W3CDTF">2026-01-08T17:01:45Z</dcterms:modified>
</cp:coreProperties>
</file>