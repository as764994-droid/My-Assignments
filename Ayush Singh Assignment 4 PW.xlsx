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pivotTables/pivotTable2.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drawings/drawing5.xml" ContentType="application/vnd.openxmlformats-officedocument.drawing+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7.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CER\OneDrive\Desktop\"/>
    </mc:Choice>
  </mc:AlternateContent>
  <xr:revisionPtr revIDLastSave="0" documentId="13_ncr:1_{A3D37ADE-0E35-40BF-A371-0753D6B8BC1F}" xr6:coauthVersionLast="47" xr6:coauthVersionMax="47" xr10:uidLastSave="{00000000-0000-0000-0000-000000000000}"/>
  <bookViews>
    <workbookView xWindow="384" yWindow="384" windowWidth="19188" windowHeight="10788" firstSheet="6" activeTab="9" xr2:uid="{303BE12B-7877-4EFC-9DE7-E309273477D9}"/>
  </bookViews>
  <sheets>
    <sheet name="DataSet" sheetId="1" r:id="rId1"/>
    <sheet name="Question 1" sheetId="19" r:id="rId2"/>
    <sheet name="Question 2" sheetId="2" r:id="rId3"/>
    <sheet name="Question 3" sheetId="3" r:id="rId4"/>
    <sheet name="Question 4" sheetId="20" r:id="rId5"/>
    <sheet name="Questiion 5" sheetId="5" r:id="rId6"/>
    <sheet name="Question 6" sheetId="7" r:id="rId7"/>
    <sheet name="Question 7" sheetId="21" r:id="rId8"/>
    <sheet name=" Analysis for Dashboard" sheetId="16" r:id="rId9"/>
    <sheet name="Question 8 Dashboard" sheetId="11" r:id="rId10"/>
    <sheet name="Question 9" sheetId="12" r:id="rId11"/>
    <sheet name="Question 10" sheetId="13" r:id="rId12"/>
  </sheets>
  <definedNames>
    <definedName name="_xlnm._FilterDatabase" localSheetId="0" hidden="1">DataSet!$A$1:$E$21</definedName>
    <definedName name="Slicer_Product">#N/A</definedName>
    <definedName name="Slicer_Product1">#N/A</definedName>
  </definedNames>
  <calcPr calcId="191029"/>
  <pivotCaches>
    <pivotCache cacheId="0" r:id="rId13"/>
    <pivotCache cacheId="1"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2" i="12" l="1"/>
  <c r="C8" i="16"/>
  <c r="B8" i="16"/>
  <c r="A8" i="16"/>
</calcChain>
</file>

<file path=xl/sharedStrings.xml><?xml version="1.0" encoding="utf-8"?>
<sst xmlns="http://schemas.openxmlformats.org/spreadsheetml/2006/main" count="164" uniqueCount="35">
  <si>
    <t>Date</t>
  </si>
  <si>
    <t>Region</t>
  </si>
  <si>
    <t>Product</t>
  </si>
  <si>
    <t>Sales</t>
  </si>
  <si>
    <t>Quantity</t>
  </si>
  <si>
    <t>West</t>
  </si>
  <si>
    <t>Mangoes</t>
  </si>
  <si>
    <t>South</t>
  </si>
  <si>
    <t>Oranges</t>
  </si>
  <si>
    <t>Apples</t>
  </si>
  <si>
    <t>East</t>
  </si>
  <si>
    <t>North</t>
  </si>
  <si>
    <t>Grand Total</t>
  </si>
  <si>
    <t>Sum of Sales</t>
  </si>
  <si>
    <t>Jan</t>
  </si>
  <si>
    <t>Feb</t>
  </si>
  <si>
    <t>Mar</t>
  </si>
  <si>
    <t>Apr</t>
  </si>
  <si>
    <t>May</t>
  </si>
  <si>
    <t>Jun</t>
  </si>
  <si>
    <t>Sum of Quantity</t>
  </si>
  <si>
    <t>Average of Sales</t>
  </si>
  <si>
    <t>Fruits</t>
  </si>
  <si>
    <t xml:space="preserve">                           </t>
  </si>
  <si>
    <t>KPIs</t>
  </si>
  <si>
    <t>Months</t>
  </si>
  <si>
    <t>Average Sales Value</t>
  </si>
  <si>
    <t>Question 5 Create a PivotChart showing Monthly Sales Trend.</t>
  </si>
  <si>
    <t>Question 2. Create a PivotTable to show Total Sales by Region.</t>
  </si>
  <si>
    <t>Question 3. Apply Conditional Formatting to highlight sales greater than 400.</t>
  </si>
  <si>
    <t>Question 6. Use a Slicer to filter data by Product and observe changes in sales.</t>
  </si>
  <si>
    <t>Question 9. Group dates in the PivotTable into Months and calculate the average sales per month.</t>
  </si>
  <si>
    <t>Question 10. Combine Apples and Oranges into one group called Fruits and compare its sales with other products.</t>
  </si>
  <si>
    <t>Sales by Region (PivotTable + Chart)</t>
  </si>
  <si>
    <t>Monthly Trend (Line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</si>
</sst>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0" x14ac:knownFonts="1">
    <font>
      <sz val="11"/>
      <color theme="1"/>
      <name val="Aptos Narrow"/>
      <family val="2"/>
      <scheme val="minor"/>
    </font>
    <font>
      <b/>
      <sz val="11"/>
      <color theme="1"/>
      <name val="Aptos Narrow"/>
      <family val="2"/>
      <scheme val="minor"/>
    </font>
    <font>
      <b/>
      <sz val="11"/>
      <color theme="1"/>
      <name val="Calibri"/>
      <family val="2"/>
    </font>
    <font>
      <sz val="11"/>
      <color theme="1"/>
      <name val="Calibri"/>
      <family val="2"/>
    </font>
    <font>
      <sz val="14"/>
      <color theme="1"/>
      <name val="Aptos Narrow"/>
      <family val="2"/>
      <scheme val="minor"/>
    </font>
    <font>
      <b/>
      <sz val="16"/>
      <color theme="1"/>
      <name val="Aptos Narrow"/>
      <family val="2"/>
      <scheme val="minor"/>
    </font>
    <font>
      <sz val="18"/>
      <color theme="1"/>
      <name val="Aptos Narrow"/>
      <family val="2"/>
      <scheme val="minor"/>
    </font>
    <font>
      <b/>
      <sz val="18"/>
      <color theme="1"/>
      <name val="Aptos Narrow"/>
      <family val="2"/>
      <scheme val="minor"/>
    </font>
    <font>
      <b/>
      <sz val="14"/>
      <color theme="1"/>
      <name val="Calibri"/>
      <family val="2"/>
    </font>
    <font>
      <sz val="14"/>
      <color theme="1"/>
      <name val="Calibri"/>
      <family val="2"/>
    </font>
  </fonts>
  <fills count="7">
    <fill>
      <patternFill patternType="none"/>
    </fill>
    <fill>
      <patternFill patternType="gray125"/>
    </fill>
    <fill>
      <patternFill patternType="solid">
        <fgColor theme="4" tint="0.79998168889431442"/>
        <bgColor theme="4" tint="0.79998168889431442"/>
      </patternFill>
    </fill>
    <fill>
      <patternFill patternType="solid">
        <fgColor theme="8" tint="0.59999389629810485"/>
        <bgColor indexed="64"/>
      </patternFill>
    </fill>
    <fill>
      <patternFill patternType="solid">
        <fgColor theme="0"/>
        <bgColor indexed="64"/>
      </patternFill>
    </fill>
    <fill>
      <patternFill patternType="solid">
        <fgColor theme="7" tint="0.59999389629810485"/>
        <bgColor indexed="64"/>
      </patternFill>
    </fill>
    <fill>
      <patternFill patternType="solid">
        <fgColor rgb="FF92D050"/>
        <bgColor indexed="64"/>
      </patternFill>
    </fill>
  </fills>
  <borders count="3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theme="4" tint="0.3999755851924192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thin">
        <color theme="4" tint="0.3999755851924192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style="medium">
        <color indexed="64"/>
      </bottom>
      <diagonal/>
    </border>
  </borders>
  <cellStyleXfs count="1">
    <xf numFmtId="0" fontId="0" fillId="0" borderId="0"/>
  </cellStyleXfs>
  <cellXfs count="86">
    <xf numFmtId="0" fontId="0" fillId="0" borderId="0" xfId="0"/>
    <xf numFmtId="0" fontId="0" fillId="0" borderId="0" xfId="0" pivotButton="1"/>
    <xf numFmtId="0" fontId="0" fillId="0" borderId="0" xfId="0" applyAlignment="1">
      <alignment horizontal="left"/>
    </xf>
    <xf numFmtId="0" fontId="0" fillId="0" borderId="0" xfId="0" applyNumberFormat="1"/>
    <xf numFmtId="0" fontId="3" fillId="0" borderId="2" xfId="0" applyFont="1" applyBorder="1" applyAlignment="1">
      <alignment horizontal="center" wrapText="1"/>
    </xf>
    <xf numFmtId="0" fontId="9" fillId="0" borderId="2" xfId="0" applyFont="1" applyBorder="1" applyAlignment="1">
      <alignment horizontal="center" wrapText="1"/>
    </xf>
    <xf numFmtId="0" fontId="0" fillId="4" borderId="0" xfId="0" applyFill="1"/>
    <xf numFmtId="0" fontId="0" fillId="0" borderId="15" xfId="0" applyBorder="1"/>
    <xf numFmtId="0" fontId="0" fillId="0" borderId="16" xfId="0" applyBorder="1"/>
    <xf numFmtId="0" fontId="0" fillId="0" borderId="17" xfId="0" applyBorder="1"/>
    <xf numFmtId="0" fontId="0" fillId="0" borderId="0" xfId="0" applyBorder="1"/>
    <xf numFmtId="0" fontId="0" fillId="0" borderId="19" xfId="0" applyBorder="1"/>
    <xf numFmtId="0" fontId="0" fillId="0" borderId="18" xfId="0" applyBorder="1"/>
    <xf numFmtId="0" fontId="0" fillId="0" borderId="20" xfId="0" applyBorder="1"/>
    <xf numFmtId="0" fontId="0" fillId="0" borderId="21" xfId="0" applyBorder="1"/>
    <xf numFmtId="0" fontId="0" fillId="0" borderId="22" xfId="0" applyBorder="1"/>
    <xf numFmtId="0" fontId="0" fillId="0" borderId="18" xfId="0" applyBorder="1" applyAlignment="1">
      <alignment horizontal="center"/>
    </xf>
    <xf numFmtId="0" fontId="1" fillId="5" borderId="30" xfId="0" applyFont="1" applyFill="1" applyBorder="1" applyAlignment="1">
      <alignment horizontal="center"/>
    </xf>
    <xf numFmtId="0" fontId="0" fillId="0" borderId="32" xfId="0" applyBorder="1"/>
    <xf numFmtId="0" fontId="0" fillId="0" borderId="29" xfId="0" applyBorder="1"/>
    <xf numFmtId="0" fontId="0" fillId="0" borderId="3" xfId="0" pivotButton="1" applyBorder="1" applyAlignment="1">
      <alignment horizontal="center"/>
    </xf>
    <xf numFmtId="0" fontId="0" fillId="0" borderId="3" xfId="0" applyBorder="1" applyAlignment="1">
      <alignment horizontal="center"/>
    </xf>
    <xf numFmtId="1" fontId="0" fillId="0" borderId="24" xfId="0" applyNumberFormat="1" applyBorder="1" applyAlignment="1">
      <alignment horizontal="center"/>
    </xf>
    <xf numFmtId="1" fontId="0" fillId="0" borderId="25" xfId="0" applyNumberFormat="1" applyBorder="1" applyAlignment="1">
      <alignment horizontal="center"/>
    </xf>
    <xf numFmtId="1" fontId="0" fillId="0" borderId="26" xfId="0" applyNumberFormat="1"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8" fillId="3" borderId="4" xfId="0" applyFont="1" applyFill="1" applyBorder="1" applyAlignment="1">
      <alignment horizontal="center" vertical="top" wrapText="1"/>
    </xf>
    <xf numFmtId="0" fontId="8" fillId="3" borderId="5" xfId="0" applyFont="1" applyFill="1" applyBorder="1" applyAlignment="1">
      <alignment horizontal="center" vertical="top" wrapText="1"/>
    </xf>
    <xf numFmtId="0" fontId="8" fillId="3" borderId="6" xfId="0" applyFont="1" applyFill="1" applyBorder="1" applyAlignment="1">
      <alignment horizontal="center" vertical="top" wrapText="1"/>
    </xf>
    <xf numFmtId="22" fontId="9" fillId="0" borderId="12" xfId="0" applyNumberFormat="1" applyFont="1" applyBorder="1" applyAlignment="1">
      <alignment horizontal="left" wrapText="1"/>
    </xf>
    <xf numFmtId="0" fontId="9" fillId="0" borderId="13" xfId="0" applyFont="1" applyBorder="1" applyAlignment="1">
      <alignment horizontal="center" wrapText="1"/>
    </xf>
    <xf numFmtId="0" fontId="9" fillId="0" borderId="14" xfId="0" applyFont="1" applyBorder="1" applyAlignment="1">
      <alignment horizontal="center" wrapText="1"/>
    </xf>
    <xf numFmtId="22" fontId="9" fillId="0" borderId="7" xfId="0" applyNumberFormat="1" applyFont="1" applyBorder="1" applyAlignment="1">
      <alignment horizontal="left" wrapText="1"/>
    </xf>
    <xf numFmtId="0" fontId="9" fillId="0" borderId="8" xfId="0" applyFont="1" applyBorder="1" applyAlignment="1">
      <alignment horizontal="center" wrapText="1"/>
    </xf>
    <xf numFmtId="22" fontId="9" fillId="0" borderId="9" xfId="0" applyNumberFormat="1" applyFont="1" applyBorder="1" applyAlignment="1">
      <alignment horizontal="left" wrapText="1"/>
    </xf>
    <xf numFmtId="0" fontId="9" fillId="0" borderId="10" xfId="0" applyFont="1" applyBorder="1" applyAlignment="1">
      <alignment horizontal="center" wrapText="1"/>
    </xf>
    <xf numFmtId="0" fontId="9" fillId="0" borderId="11" xfId="0" applyFont="1" applyBorder="1" applyAlignment="1">
      <alignment horizontal="center" wrapText="1"/>
    </xf>
    <xf numFmtId="0" fontId="8" fillId="0" borderId="2" xfId="0" applyFont="1" applyBorder="1" applyAlignment="1">
      <alignment horizontal="center" wrapText="1"/>
    </xf>
    <xf numFmtId="0" fontId="2" fillId="5" borderId="2" xfId="0" applyFont="1" applyFill="1" applyBorder="1" applyAlignment="1">
      <alignment horizontal="center" vertical="top" wrapText="1"/>
    </xf>
    <xf numFmtId="0" fontId="5" fillId="0" borderId="28" xfId="0" applyFont="1" applyBorder="1"/>
    <xf numFmtId="0" fontId="0" fillId="0" borderId="0" xfId="0" applyAlignment="1">
      <alignment wrapText="1"/>
    </xf>
    <xf numFmtId="0" fontId="8" fillId="0" borderId="8" xfId="0" applyFont="1" applyBorder="1" applyAlignment="1">
      <alignment horizontal="center" wrapText="1"/>
    </xf>
    <xf numFmtId="0" fontId="8" fillId="6" borderId="13" xfId="0" applyFont="1" applyFill="1" applyBorder="1" applyAlignment="1">
      <alignment horizontal="center" wrapText="1"/>
    </xf>
    <xf numFmtId="1" fontId="1" fillId="6" borderId="31" xfId="0" applyNumberFormat="1" applyFont="1" applyFill="1" applyBorder="1" applyAlignment="1">
      <alignment horizontal="center"/>
    </xf>
    <xf numFmtId="22" fontId="3" fillId="0" borderId="2" xfId="0" applyNumberFormat="1" applyFont="1" applyBorder="1" applyAlignment="1">
      <alignment horizontal="center" wrapText="1"/>
    </xf>
    <xf numFmtId="0" fontId="4" fillId="0" borderId="3" xfId="0" pivotButton="1" applyFont="1" applyBorder="1" applyAlignment="1">
      <alignment horizontal="center"/>
    </xf>
    <xf numFmtId="0" fontId="4" fillId="0" borderId="3" xfId="0" applyFont="1" applyBorder="1" applyAlignment="1">
      <alignment horizontal="center"/>
    </xf>
    <xf numFmtId="0" fontId="4" fillId="0" borderId="24" xfId="0" applyFont="1" applyBorder="1" applyAlignment="1">
      <alignment horizontal="center"/>
    </xf>
    <xf numFmtId="0" fontId="4" fillId="0" borderId="24" xfId="0" applyNumberFormat="1" applyFont="1" applyBorder="1" applyAlignment="1">
      <alignment horizontal="center"/>
    </xf>
    <xf numFmtId="0" fontId="4" fillId="0" borderId="25" xfId="0" applyFont="1" applyBorder="1" applyAlignment="1">
      <alignment horizontal="center"/>
    </xf>
    <xf numFmtId="0" fontId="4" fillId="0" borderId="25" xfId="0" applyNumberFormat="1" applyFont="1" applyBorder="1" applyAlignment="1">
      <alignment horizontal="center"/>
    </xf>
    <xf numFmtId="0" fontId="4" fillId="0" borderId="26" xfId="0" applyFont="1" applyBorder="1" applyAlignment="1">
      <alignment horizontal="center"/>
    </xf>
    <xf numFmtId="0" fontId="4" fillId="0" borderId="26" xfId="0" applyNumberFormat="1" applyFont="1" applyBorder="1" applyAlignment="1">
      <alignment horizontal="center"/>
    </xf>
    <xf numFmtId="0" fontId="0" fillId="0" borderId="24" xfId="0" applyNumberFormat="1" applyBorder="1" applyAlignment="1">
      <alignment horizontal="center"/>
    </xf>
    <xf numFmtId="0" fontId="0" fillId="0" borderId="25" xfId="0" applyNumberFormat="1" applyBorder="1" applyAlignment="1">
      <alignment horizontal="center"/>
    </xf>
    <xf numFmtId="0" fontId="0" fillId="0" borderId="26" xfId="0" applyNumberFormat="1" applyBorder="1" applyAlignment="1">
      <alignment horizontal="center"/>
    </xf>
    <xf numFmtId="0" fontId="6" fillId="0" borderId="15" xfId="0" pivotButton="1" applyFont="1" applyBorder="1" applyAlignment="1">
      <alignment horizontal="center"/>
    </xf>
    <xf numFmtId="0" fontId="6" fillId="0" borderId="3" xfId="0" applyFont="1" applyBorder="1" applyAlignment="1">
      <alignment horizontal="center"/>
    </xf>
    <xf numFmtId="0" fontId="6" fillId="0" borderId="18" xfId="0" applyFont="1" applyBorder="1" applyAlignment="1">
      <alignment horizontal="center"/>
    </xf>
    <xf numFmtId="0" fontId="6" fillId="0" borderId="24" xfId="0" applyNumberFormat="1" applyFont="1" applyBorder="1" applyAlignment="1">
      <alignment horizontal="center"/>
    </xf>
    <xf numFmtId="0" fontId="6" fillId="0" borderId="25" xfId="0" applyNumberFormat="1" applyFont="1" applyBorder="1" applyAlignment="1">
      <alignment horizontal="center"/>
    </xf>
    <xf numFmtId="0" fontId="6" fillId="0" borderId="3" xfId="0" applyNumberFormat="1" applyFont="1" applyBorder="1" applyAlignment="1">
      <alignment horizontal="center"/>
    </xf>
    <xf numFmtId="0" fontId="0" fillId="0" borderId="28" xfId="0" applyBorder="1" applyAlignment="1">
      <alignment horizontal="center"/>
    </xf>
    <xf numFmtId="0" fontId="0" fillId="0" borderId="32" xfId="0" applyBorder="1" applyAlignment="1">
      <alignment horizontal="center"/>
    </xf>
    <xf numFmtId="0" fontId="0" fillId="0" borderId="29" xfId="0" applyBorder="1" applyAlignment="1">
      <alignment horizontal="center"/>
    </xf>
    <xf numFmtId="0" fontId="0" fillId="0" borderId="28" xfId="0" applyNumberFormat="1" applyBorder="1" applyAlignment="1">
      <alignment horizontal="center"/>
    </xf>
    <xf numFmtId="0" fontId="0" fillId="0" borderId="32" xfId="0" applyNumberFormat="1" applyBorder="1" applyAlignment="1">
      <alignment horizontal="center"/>
    </xf>
    <xf numFmtId="1" fontId="0" fillId="0" borderId="29" xfId="0" applyNumberFormat="1" applyBorder="1" applyAlignment="1">
      <alignment horizontal="center"/>
    </xf>
    <xf numFmtId="0" fontId="0" fillId="0" borderId="0" xfId="0" applyBorder="1" applyAlignment="1">
      <alignment horizontal="center"/>
    </xf>
    <xf numFmtId="0" fontId="0" fillId="0" borderId="19" xfId="0" applyBorder="1" applyAlignment="1">
      <alignment horizontal="center"/>
    </xf>
    <xf numFmtId="0" fontId="1" fillId="2" borderId="23" xfId="0" applyFont="1" applyFill="1" applyBorder="1" applyAlignment="1">
      <alignment horizontal="center"/>
    </xf>
    <xf numFmtId="0" fontId="1" fillId="2" borderId="1" xfId="0" applyFont="1" applyFill="1" applyBorder="1" applyAlignment="1">
      <alignment horizontal="center"/>
    </xf>
    <xf numFmtId="0" fontId="1" fillId="2" borderId="27" xfId="0" applyFont="1" applyFill="1" applyBorder="1" applyAlignment="1">
      <alignment horizontal="center"/>
    </xf>
    <xf numFmtId="164" fontId="0" fillId="0" borderId="20" xfId="0" applyNumberFormat="1" applyBorder="1" applyAlignment="1">
      <alignment horizontal="center"/>
    </xf>
    <xf numFmtId="0" fontId="0" fillId="0" borderId="21" xfId="0" applyBorder="1" applyAlignment="1">
      <alignment horizontal="center"/>
    </xf>
    <xf numFmtId="164" fontId="0" fillId="0" borderId="22" xfId="0" applyNumberFormat="1" applyBorder="1" applyAlignment="1">
      <alignment horizontal="center"/>
    </xf>
    <xf numFmtId="0" fontId="5" fillId="0" borderId="28" xfId="0" applyFont="1" applyBorder="1" applyAlignment="1">
      <alignment horizontal="center"/>
    </xf>
    <xf numFmtId="0" fontId="5" fillId="0" borderId="32" xfId="0" applyFont="1" applyBorder="1" applyAlignment="1">
      <alignment horizontal="center"/>
    </xf>
    <xf numFmtId="0" fontId="5" fillId="0" borderId="29" xfId="0" applyFont="1" applyBorder="1" applyAlignment="1">
      <alignment horizontal="center"/>
    </xf>
    <xf numFmtId="0" fontId="0" fillId="0" borderId="32" xfId="0" applyBorder="1" applyAlignment="1">
      <alignment horizontal="center"/>
    </xf>
    <xf numFmtId="0" fontId="0" fillId="0" borderId="29" xfId="0" applyBorder="1" applyAlignment="1">
      <alignment horizontal="center"/>
    </xf>
    <xf numFmtId="0" fontId="5" fillId="0" borderId="28" xfId="0" applyFont="1" applyBorder="1" applyAlignment="1">
      <alignment horizontal="center" wrapText="1"/>
    </xf>
    <xf numFmtId="0" fontId="7" fillId="0" borderId="0" xfId="0" applyFont="1" applyAlignment="1">
      <alignment horizontal="center"/>
    </xf>
    <xf numFmtId="0" fontId="0" fillId="0" borderId="0" xfId="0" applyAlignment="1">
      <alignment horizontal="center"/>
    </xf>
  </cellXfs>
  <cellStyles count="1">
    <cellStyle name="Normal" xfId="0" builtinId="0"/>
  </cellStyles>
  <dxfs count="91">
    <dxf>
      <font>
        <color rgb="FF006100"/>
      </font>
      <fill>
        <patternFill>
          <bgColor rgb="FFC6EFCE"/>
        </patternFill>
      </fill>
    </dxf>
    <dxf>
      <fill>
        <patternFill>
          <bgColor rgb="FF92D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font>
    </dxf>
    <dxf>
      <font>
        <sz val="14"/>
      </font>
    </dxf>
    <dxf>
      <font>
        <sz val="14"/>
      </font>
    </dxf>
    <dxf>
      <font>
        <sz val="14"/>
      </font>
    </dxf>
    <dxf>
      <font>
        <sz val="14"/>
      </font>
    </dxf>
    <dxf>
      <font>
        <sz val="14"/>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[Ayush Singh Assignment 4 PW.xlsx]Questiion 5!PivotTable2</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Sales Trend (Jan-Jun 2024)</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'Questiion 5'!$C$5</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'Questiion 5'!$B$6:$B$12</c:f>
              <c:strCache>
                <c:ptCount val="6"/>
                <c:pt idx="0">
                  <c:v>Jan</c:v>
                </c:pt>
                <c:pt idx="1">
                  <c:v>Feb</c:v>
                </c:pt>
                <c:pt idx="2">
                  <c:v>Mar</c:v>
                </c:pt>
                <c:pt idx="3">
                  <c:v>Apr</c:v>
                </c:pt>
                <c:pt idx="4">
                  <c:v>May</c:v>
                </c:pt>
                <c:pt idx="5">
                  <c:v>Jun</c:v>
                </c:pt>
              </c:strCache>
            </c:strRef>
          </c:cat>
          <c:val>
            <c:numRef>
              <c:f>'Questiion 5'!$C$6:$C$12</c:f>
              <c:numCache>
                <c:formatCode>General</c:formatCode>
                <c:ptCount val="6"/>
                <c:pt idx="0">
                  <c:v>1281</c:v>
                </c:pt>
                <c:pt idx="1">
                  <c:v>1032</c:v>
                </c:pt>
                <c:pt idx="2">
                  <c:v>958</c:v>
                </c:pt>
                <c:pt idx="3">
                  <c:v>1155</c:v>
                </c:pt>
                <c:pt idx="4">
                  <c:v>1286</c:v>
                </c:pt>
                <c:pt idx="5">
                  <c:v>1117</c:v>
                </c:pt>
              </c:numCache>
            </c:numRef>
          </c:val>
          <c:smooth val="1"/>
          <c:extLst>
            <c:ext xmlns:c16="http://schemas.microsoft.com/office/drawing/2014/chart" uri="{C3380CC4-5D6E-409C-BE32-E72D297353CC}">
              <c16:uniqueId val="{00000000-9BEB-4DBF-A83D-9DBAFC384528}"/>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85035695"/>
        <c:axId val="685036175"/>
      </c:lineChart>
      <c:catAx>
        <c:axId val="68503569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685036175"/>
        <c:crosses val="autoZero"/>
        <c:auto val="1"/>
        <c:lblAlgn val="ctr"/>
        <c:lblOffset val="100"/>
        <c:noMultiLvlLbl val="0"/>
      </c:catAx>
      <c:valAx>
        <c:axId val="68503617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sz="900" b="1" i="0" u="none" strike="noStrike" baseline="0"/>
                  <a:t>Total Sales</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85035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[Ayush Singh Assignment 4 PW.xlsx] Analysis for Dashboard!PivotTable4</c:name>
    <c:fmtId val="2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 Analysis for Dashboard'!$B$15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 Analysis for Dashboard'!$A$16:$A$20</c:f>
              <c:strCache>
                <c:ptCount val="4"/>
                <c:pt idx="0">
                  <c:v>East</c:v>
                </c:pt>
                <c:pt idx="1">
                  <c:v>North</c:v>
                </c:pt>
                <c:pt idx="2">
                  <c:v>South</c:v>
                </c:pt>
                <c:pt idx="3">
                  <c:v>West</c:v>
                </c:pt>
              </c:strCache>
            </c:strRef>
          </c:cat>
          <c:val>
            <c:numRef>
              <c:f>' Analysis for Dashboard'!$B$16:$B$20</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2B89-45D0-8138-047C82902D13}"/>
            </c:ext>
          </c:extLst>
        </c:ser>
        <c:dLbls>
          <c:showLegendKey val="0"/>
          <c:showVal val="1"/>
          <c:showCatName val="0"/>
          <c:showSerName val="0"/>
          <c:showPercent val="0"/>
          <c:showBubbleSize val="0"/>
        </c:dLbls>
        <c:gapWidth val="150"/>
        <c:shape val="box"/>
        <c:axId val="685025135"/>
        <c:axId val="685038575"/>
        <c:axId val="0"/>
      </c:bar3DChart>
      <c:catAx>
        <c:axId val="6850251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5038575"/>
        <c:crosses val="autoZero"/>
        <c:auto val="1"/>
        <c:lblAlgn val="ctr"/>
        <c:lblOffset val="100"/>
        <c:noMultiLvlLbl val="0"/>
      </c:catAx>
      <c:valAx>
        <c:axId val="68503857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5025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[Ayush Singh Assignment 4 PW.xlsx] Analysis for Dashboard!PivotTable5</c:name>
    <c:fmtId val="1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 Sales Trend (Jan-Jun 2024)</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Analysis for Dashboard'!$B$35</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 Analysis for Dashboard'!$A$36:$A$42</c:f>
              <c:strCache>
                <c:ptCount val="6"/>
                <c:pt idx="0">
                  <c:v>Jan</c:v>
                </c:pt>
                <c:pt idx="1">
                  <c:v>Feb</c:v>
                </c:pt>
                <c:pt idx="2">
                  <c:v>Mar</c:v>
                </c:pt>
                <c:pt idx="3">
                  <c:v>Apr</c:v>
                </c:pt>
                <c:pt idx="4">
                  <c:v>May</c:v>
                </c:pt>
                <c:pt idx="5">
                  <c:v>Jun</c:v>
                </c:pt>
              </c:strCache>
            </c:strRef>
          </c:cat>
          <c:val>
            <c:numRef>
              <c:f>' Analysis for Dashboard'!$B$36:$B$42</c:f>
              <c:numCache>
                <c:formatCode>General</c:formatCode>
                <c:ptCount val="6"/>
                <c:pt idx="0">
                  <c:v>1281</c:v>
                </c:pt>
                <c:pt idx="1">
                  <c:v>1032</c:v>
                </c:pt>
                <c:pt idx="2">
                  <c:v>958</c:v>
                </c:pt>
                <c:pt idx="3">
                  <c:v>1155</c:v>
                </c:pt>
                <c:pt idx="4">
                  <c:v>1286</c:v>
                </c:pt>
                <c:pt idx="5">
                  <c:v>1117</c:v>
                </c:pt>
              </c:numCache>
            </c:numRef>
          </c:val>
          <c:smooth val="1"/>
          <c:extLst>
            <c:ext xmlns:c16="http://schemas.microsoft.com/office/drawing/2014/chart" uri="{C3380CC4-5D6E-409C-BE32-E72D297353CC}">
              <c16:uniqueId val="{00000000-0714-4CF4-99B9-5742511677A1}"/>
            </c:ext>
          </c:extLst>
        </c:ser>
        <c:dLbls>
          <c:showLegendKey val="0"/>
          <c:showVal val="0"/>
          <c:showCatName val="0"/>
          <c:showSerName val="0"/>
          <c:showPercent val="0"/>
          <c:showBubbleSize val="0"/>
        </c:dLbls>
        <c:marker val="1"/>
        <c:smooth val="0"/>
        <c:axId val="767967663"/>
        <c:axId val="767962383"/>
      </c:lineChart>
      <c:catAx>
        <c:axId val="76796766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67962383"/>
        <c:crosses val="autoZero"/>
        <c:auto val="1"/>
        <c:lblAlgn val="ctr"/>
        <c:lblOffset val="100"/>
        <c:noMultiLvlLbl val="0"/>
      </c:catAx>
      <c:valAx>
        <c:axId val="76796238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67967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[Ayush Singh Assignment 4 PW.xlsx] Analysis for Dashboard!PivotTable4</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 Analysis for Dashboard'!$B$15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 Analysis for Dashboard'!$A$16:$A$20</c:f>
              <c:strCache>
                <c:ptCount val="4"/>
                <c:pt idx="0">
                  <c:v>East</c:v>
                </c:pt>
                <c:pt idx="1">
                  <c:v>North</c:v>
                </c:pt>
                <c:pt idx="2">
                  <c:v>South</c:v>
                </c:pt>
                <c:pt idx="3">
                  <c:v>West</c:v>
                </c:pt>
              </c:strCache>
            </c:strRef>
          </c:cat>
          <c:val>
            <c:numRef>
              <c:f>' Analysis for Dashboard'!$B$16:$B$20</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AA0E-4C3B-BD27-DACFFCDE9EF1}"/>
            </c:ext>
          </c:extLst>
        </c:ser>
        <c:dLbls>
          <c:showLegendKey val="0"/>
          <c:showVal val="1"/>
          <c:showCatName val="0"/>
          <c:showSerName val="0"/>
          <c:showPercent val="0"/>
          <c:showBubbleSize val="0"/>
        </c:dLbls>
        <c:gapWidth val="150"/>
        <c:shape val="box"/>
        <c:axId val="685025135"/>
        <c:axId val="685038575"/>
        <c:axId val="0"/>
      </c:bar3DChart>
      <c:catAx>
        <c:axId val="6850251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5038575"/>
        <c:crosses val="autoZero"/>
        <c:auto val="1"/>
        <c:lblAlgn val="ctr"/>
        <c:lblOffset val="100"/>
        <c:noMultiLvlLbl val="0"/>
      </c:catAx>
      <c:valAx>
        <c:axId val="68503857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5025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[Ayush Singh Assignment 4 PW.xlsx] Analysis for Dashboard!PivotTable5</c:name>
    <c:fmtId val="1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Sales Trend (Jan-Jun 2024)</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Analysis for Dashboard'!$B$35</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 Analysis for Dashboard'!$A$36:$A$42</c:f>
              <c:strCache>
                <c:ptCount val="6"/>
                <c:pt idx="0">
                  <c:v>Jan</c:v>
                </c:pt>
                <c:pt idx="1">
                  <c:v>Feb</c:v>
                </c:pt>
                <c:pt idx="2">
                  <c:v>Mar</c:v>
                </c:pt>
                <c:pt idx="3">
                  <c:v>Apr</c:v>
                </c:pt>
                <c:pt idx="4">
                  <c:v>May</c:v>
                </c:pt>
                <c:pt idx="5">
                  <c:v>Jun</c:v>
                </c:pt>
              </c:strCache>
            </c:strRef>
          </c:cat>
          <c:val>
            <c:numRef>
              <c:f>' Analysis for Dashboard'!$B$36:$B$42</c:f>
              <c:numCache>
                <c:formatCode>General</c:formatCode>
                <c:ptCount val="6"/>
                <c:pt idx="0">
                  <c:v>1281</c:v>
                </c:pt>
                <c:pt idx="1">
                  <c:v>1032</c:v>
                </c:pt>
                <c:pt idx="2">
                  <c:v>958</c:v>
                </c:pt>
                <c:pt idx="3">
                  <c:v>1155</c:v>
                </c:pt>
                <c:pt idx="4">
                  <c:v>1286</c:v>
                </c:pt>
                <c:pt idx="5">
                  <c:v>1117</c:v>
                </c:pt>
              </c:numCache>
            </c:numRef>
          </c:val>
          <c:smooth val="1"/>
          <c:extLst>
            <c:ext xmlns:c16="http://schemas.microsoft.com/office/drawing/2014/chart" uri="{C3380CC4-5D6E-409C-BE32-E72D297353CC}">
              <c16:uniqueId val="{00000000-4AE5-4D25-BEB5-CF11B90B8002}"/>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767967663"/>
        <c:axId val="767962383"/>
      </c:lineChart>
      <c:catAx>
        <c:axId val="76796766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767962383"/>
        <c:crosses val="autoZero"/>
        <c:auto val="1"/>
        <c:lblAlgn val="ctr"/>
        <c:lblOffset val="100"/>
        <c:noMultiLvlLbl val="0"/>
      </c:catAx>
      <c:valAx>
        <c:axId val="76796238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67967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1</xdr:col>
      <xdr:colOff>182880</xdr:colOff>
      <xdr:row>2</xdr:row>
      <xdr:rowOff>60960</xdr:rowOff>
    </xdr:from>
    <xdr:ext cx="12588240" cy="4084003"/>
    <xdr:sp macro="" textlink="">
      <xdr:nvSpPr>
        <xdr:cNvPr id="2" name="TextBox 1">
          <a:extLst>
            <a:ext uri="{FF2B5EF4-FFF2-40B4-BE49-F238E27FC236}">
              <a16:creationId xmlns:a16="http://schemas.microsoft.com/office/drawing/2014/main" id="{2344967B-CED3-8667-97B4-CE3D0A55C956}"/>
            </a:ext>
          </a:extLst>
        </xdr:cNvPr>
        <xdr:cNvSpPr txBox="1"/>
      </xdr:nvSpPr>
      <xdr:spPr>
        <a:xfrm>
          <a:off x="792480" y="426720"/>
          <a:ext cx="12588240" cy="408400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800" b="1">
              <a:solidFill>
                <a:schemeClr val="tx1"/>
              </a:solidFill>
              <a:effectLst/>
              <a:latin typeface="+mn-lt"/>
              <a:ea typeface="+mn-ea"/>
              <a:cs typeface="+mn-cs"/>
            </a:rPr>
            <a:t>Question 1: What is the purpose of a PivotTable in Excel?</a:t>
          </a:r>
          <a:endParaRPr lang="en-US" sz="2800">
            <a:solidFill>
              <a:schemeClr val="tx1"/>
            </a:solidFill>
            <a:effectLst/>
            <a:latin typeface="+mn-lt"/>
            <a:ea typeface="+mn-ea"/>
            <a:cs typeface="+mn-cs"/>
          </a:endParaRPr>
        </a:p>
        <a:p>
          <a:r>
            <a:rPr lang="en-US" sz="2400" b="1">
              <a:solidFill>
                <a:schemeClr val="tx1"/>
              </a:solidFill>
              <a:effectLst/>
              <a:latin typeface="+mn-lt"/>
              <a:ea typeface="+mn-ea"/>
              <a:cs typeface="+mn-cs"/>
            </a:rPr>
            <a:t>Answer:</a:t>
          </a:r>
          <a:r>
            <a:rPr lang="en-US" sz="2400">
              <a:solidFill>
                <a:schemeClr val="tx1"/>
              </a:solidFill>
              <a:effectLst/>
              <a:latin typeface="+mn-lt"/>
              <a:ea typeface="+mn-ea"/>
              <a:cs typeface="+mn-cs"/>
            </a:rPr>
            <a:t> </a:t>
          </a:r>
          <a:r>
            <a:rPr lang="en-US" sz="2400"/>
            <a:t>A </a:t>
          </a:r>
          <a:r>
            <a:rPr lang="en-US" sz="2400" b="1"/>
            <a:t>PivotTable</a:t>
          </a:r>
          <a:r>
            <a:rPr lang="en-US" sz="2400"/>
            <a:t> is essentially your best friend for </a:t>
          </a:r>
          <a:r>
            <a:rPr lang="en-US" sz="2400" b="1"/>
            <a:t>cutting through huge amounts of data</a:t>
          </a:r>
          <a:r>
            <a:rPr lang="en-US" sz="2400"/>
            <a:t> in Excel. Its main job is to take a detailed list of transactions and instantly summarize it for you.</a:t>
          </a:r>
        </a:p>
        <a:p>
          <a:r>
            <a:rPr lang="en-US" sz="2400"/>
            <a:t>Here are the key things it lets you do:</a:t>
          </a:r>
        </a:p>
        <a:p>
          <a:r>
            <a:rPr lang="en-US" sz="2400" b="1"/>
            <a:t>a) Summarize big data</a:t>
          </a:r>
          <a:r>
            <a:rPr lang="en-US" sz="2400"/>
            <a:t> to find valuable, meaningful insights quickly.</a:t>
          </a:r>
        </a:p>
        <a:p>
          <a:r>
            <a:rPr lang="en-US" sz="2400" b="1"/>
            <a:t>b) Reorganize and group information</a:t>
          </a:r>
          <a:r>
            <a:rPr lang="en-US" sz="2400"/>
            <a:t> by any category you need, like Region, Product, or Date.</a:t>
          </a:r>
        </a:p>
        <a:p>
          <a:r>
            <a:rPr lang="en-US" sz="2400" b="1"/>
            <a:t>c) Calculate totals, averages, or counts</a:t>
          </a:r>
          <a:r>
            <a:rPr lang="en-US" sz="2400"/>
            <a:t> without you needing to type out a single formula.</a:t>
          </a:r>
        </a:p>
        <a:p>
          <a:r>
            <a:rPr lang="en-US" sz="2400" b="1"/>
            <a:t>d) Create flexible reports</a:t>
          </a:r>
          <a:r>
            <a:rPr lang="en-US" sz="2400"/>
            <a:t> that are easy to update by just clicking the refresh button.</a:t>
          </a:r>
        </a:p>
        <a:p>
          <a:r>
            <a:rPr lang="en-US" sz="2400" b="1"/>
            <a:t>e) Easily spot patterns and trends</a:t>
          </a:r>
          <a:r>
            <a:rPr lang="en-US" sz="2400"/>
            <a:t> that would be hidden if you just looked at the raw, complex data.</a:t>
          </a:r>
        </a:p>
        <a:p>
          <a:r>
            <a:rPr lang="en-US" sz="2400" b="1"/>
            <a:t>f)</a:t>
          </a:r>
          <a:r>
            <a:rPr lang="en-US" sz="2400" b="1" baseline="0"/>
            <a:t> </a:t>
          </a:r>
          <a:r>
            <a:rPr lang="en-US" sz="2400" b="1"/>
            <a:t>Perform analysis safely</a:t>
          </a:r>
          <a:r>
            <a:rPr lang="en-US" sz="2400"/>
            <a:t> because it doesn't ever change your original sales data.</a:t>
          </a:r>
        </a:p>
        <a:p>
          <a:endParaRPr lang="en-US" sz="1100">
            <a:ln>
              <a:noFill/>
            </a:ln>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xdr:col>
      <xdr:colOff>320040</xdr:colOff>
      <xdr:row>3</xdr:row>
      <xdr:rowOff>68580</xdr:rowOff>
    </xdr:from>
    <xdr:to>
      <xdr:col>22</xdr:col>
      <xdr:colOff>342900</xdr:colOff>
      <xdr:row>26</xdr:row>
      <xdr:rowOff>175260</xdr:rowOff>
    </xdr:to>
    <xdr:sp macro="" textlink="">
      <xdr:nvSpPr>
        <xdr:cNvPr id="2" name="TextBox 1">
          <a:extLst>
            <a:ext uri="{FF2B5EF4-FFF2-40B4-BE49-F238E27FC236}">
              <a16:creationId xmlns:a16="http://schemas.microsoft.com/office/drawing/2014/main" id="{6C2BAC3A-15FC-4C02-291E-D85066A2C6E6}"/>
            </a:ext>
          </a:extLst>
        </xdr:cNvPr>
        <xdr:cNvSpPr txBox="1"/>
      </xdr:nvSpPr>
      <xdr:spPr>
        <a:xfrm>
          <a:off x="929640" y="617220"/>
          <a:ext cx="12824460" cy="43129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dk1"/>
              </a:solidFill>
              <a:effectLst/>
              <a:latin typeface="+mn-lt"/>
              <a:ea typeface="+mn-ea"/>
              <a:cs typeface="+mn-cs"/>
            </a:rPr>
            <a:t>Question 4: Explain the difference between Sorting and Filtering</a:t>
          </a:r>
          <a:endParaRPr lang="en-US" sz="2400">
            <a:solidFill>
              <a:schemeClr val="dk1"/>
            </a:solidFill>
            <a:effectLst/>
            <a:latin typeface="+mn-lt"/>
            <a:ea typeface="+mn-ea"/>
            <a:cs typeface="+mn-cs"/>
          </a:endParaRPr>
        </a:p>
        <a:p>
          <a:r>
            <a:rPr lang="en-US" sz="2000" b="1">
              <a:solidFill>
                <a:schemeClr val="dk1"/>
              </a:solidFill>
              <a:effectLst/>
              <a:latin typeface="+mn-lt"/>
              <a:ea typeface="+mn-ea"/>
              <a:cs typeface="+mn-cs"/>
            </a:rPr>
            <a:t>Answer: </a:t>
          </a:r>
          <a:endParaRPr lang="en-US" sz="2000">
            <a:solidFill>
              <a:schemeClr val="dk1"/>
            </a:solidFill>
            <a:effectLst/>
            <a:latin typeface="+mn-lt"/>
            <a:ea typeface="+mn-ea"/>
            <a:cs typeface="+mn-cs"/>
          </a:endParaRPr>
        </a:p>
        <a:p>
          <a:r>
            <a:rPr lang="en-US" sz="2000">
              <a:solidFill>
                <a:schemeClr val="dk1"/>
              </a:solidFill>
              <a:effectLst/>
              <a:latin typeface="+mn-lt"/>
              <a:ea typeface="+mn-ea"/>
              <a:cs typeface="+mn-cs"/>
            </a:rPr>
            <a:t>The difference between Sorting and Filtering is pretty simple.</a:t>
          </a:r>
        </a:p>
        <a:p>
          <a:r>
            <a:rPr lang="en-US" sz="2000" b="1">
              <a:solidFill>
                <a:schemeClr val="dk1"/>
              </a:solidFill>
              <a:effectLst/>
              <a:latin typeface="+mn-lt"/>
              <a:ea typeface="+mn-ea"/>
              <a:cs typeface="+mn-cs"/>
            </a:rPr>
            <a:t>Sorting:</a:t>
          </a:r>
          <a:r>
            <a:rPr lang="en-US" sz="2000">
              <a:solidFill>
                <a:schemeClr val="dk1"/>
              </a:solidFill>
              <a:effectLst/>
              <a:latin typeface="+mn-lt"/>
              <a:ea typeface="+mn-ea"/>
              <a:cs typeface="+mn-cs"/>
            </a:rPr>
            <a:t> This </a:t>
          </a:r>
          <a:r>
            <a:rPr lang="en-US" sz="2000" b="1">
              <a:solidFill>
                <a:schemeClr val="dk1"/>
              </a:solidFill>
              <a:effectLst/>
              <a:latin typeface="+mn-lt"/>
              <a:ea typeface="+mn-ea"/>
              <a:cs typeface="+mn-cs"/>
            </a:rPr>
            <a:t>rearranges</a:t>
          </a:r>
          <a:r>
            <a:rPr lang="en-US" sz="2000">
              <a:solidFill>
                <a:schemeClr val="dk1"/>
              </a:solidFill>
              <a:effectLst/>
              <a:latin typeface="+mn-lt"/>
              <a:ea typeface="+mn-ea"/>
              <a:cs typeface="+mn-cs"/>
            </a:rPr>
            <a:t> your data into a specific sequence, like A to Z or biggest to smallest.</a:t>
          </a:r>
        </a:p>
        <a:p>
          <a:pPr lvl="1"/>
          <a:r>
            <a:rPr lang="en-US" sz="2000" b="1">
              <a:solidFill>
                <a:schemeClr val="dk1"/>
              </a:solidFill>
              <a:effectLst/>
              <a:latin typeface="+mn-lt"/>
              <a:ea typeface="+mn-ea"/>
              <a:cs typeface="+mn-cs"/>
            </a:rPr>
            <a:t>Example:</a:t>
          </a:r>
          <a:r>
            <a:rPr lang="en-US" sz="2000">
              <a:solidFill>
                <a:schemeClr val="dk1"/>
              </a:solidFill>
              <a:effectLst/>
              <a:latin typeface="+mn-lt"/>
              <a:ea typeface="+mn-ea"/>
              <a:cs typeface="+mn-cs"/>
            </a:rPr>
            <a:t> If I </a:t>
          </a:r>
          <a:r>
            <a:rPr lang="en-US" sz="2000" b="1">
              <a:solidFill>
                <a:schemeClr val="dk1"/>
              </a:solidFill>
              <a:effectLst/>
              <a:latin typeface="+mn-lt"/>
              <a:ea typeface="+mn-ea"/>
              <a:cs typeface="+mn-cs"/>
            </a:rPr>
            <a:t>sort</a:t>
          </a:r>
          <a:r>
            <a:rPr lang="en-US" sz="2000">
              <a:solidFill>
                <a:schemeClr val="dk1"/>
              </a:solidFill>
              <a:effectLst/>
              <a:latin typeface="+mn-lt"/>
              <a:ea typeface="+mn-ea"/>
              <a:cs typeface="+mn-cs"/>
            </a:rPr>
            <a:t> the </a:t>
          </a:r>
          <a:r>
            <a:rPr lang="en-US" sz="2000" b="1">
              <a:solidFill>
                <a:schemeClr val="dk1"/>
              </a:solidFill>
              <a:effectLst/>
              <a:latin typeface="+mn-lt"/>
              <a:ea typeface="+mn-ea"/>
              <a:cs typeface="+mn-cs"/>
            </a:rPr>
            <a:t>Sales</a:t>
          </a:r>
          <a:r>
            <a:rPr lang="en-US" sz="2000">
              <a:solidFill>
                <a:schemeClr val="dk1"/>
              </a:solidFill>
              <a:effectLst/>
              <a:latin typeface="+mn-lt"/>
              <a:ea typeface="+mn-ea"/>
              <a:cs typeface="+mn-cs"/>
            </a:rPr>
            <a:t> column from largest to smallest, all the rows are still there (all 20 transactions), but the biggest sales move to the top: 497, 483, 467, 456, and so on. The whole dataset remains visible.</a:t>
          </a:r>
        </a:p>
        <a:p>
          <a:r>
            <a:rPr lang="en-US" sz="2000" b="1">
              <a:solidFill>
                <a:schemeClr val="dk1"/>
              </a:solidFill>
              <a:effectLst/>
              <a:latin typeface="+mn-lt"/>
              <a:ea typeface="+mn-ea"/>
              <a:cs typeface="+mn-cs"/>
            </a:rPr>
            <a:t>Filtering:</a:t>
          </a:r>
          <a:r>
            <a:rPr lang="en-US" sz="2000">
              <a:solidFill>
                <a:schemeClr val="dk1"/>
              </a:solidFill>
              <a:effectLst/>
              <a:latin typeface="+mn-lt"/>
              <a:ea typeface="+mn-ea"/>
              <a:cs typeface="+mn-cs"/>
            </a:rPr>
            <a:t> This </a:t>
          </a:r>
          <a:r>
            <a:rPr lang="en-US" sz="2000" b="1">
              <a:solidFill>
                <a:schemeClr val="dk1"/>
              </a:solidFill>
              <a:effectLst/>
              <a:latin typeface="+mn-lt"/>
              <a:ea typeface="+mn-ea"/>
              <a:cs typeface="+mn-cs"/>
            </a:rPr>
            <a:t>hides</a:t>
          </a:r>
          <a:r>
            <a:rPr lang="en-US" sz="2000">
              <a:solidFill>
                <a:schemeClr val="dk1"/>
              </a:solidFill>
              <a:effectLst/>
              <a:latin typeface="+mn-lt"/>
              <a:ea typeface="+mn-ea"/>
              <a:cs typeface="+mn-cs"/>
            </a:rPr>
            <a:t> the data you don't care about right now, focusing your view on specific rows.</a:t>
          </a:r>
        </a:p>
        <a:p>
          <a:pPr lvl="1"/>
          <a:r>
            <a:rPr lang="en-US" sz="2000" b="1">
              <a:solidFill>
                <a:schemeClr val="dk1"/>
              </a:solidFill>
              <a:effectLst/>
              <a:latin typeface="+mn-lt"/>
              <a:ea typeface="+mn-ea"/>
              <a:cs typeface="+mn-cs"/>
            </a:rPr>
            <a:t>Example:</a:t>
          </a:r>
          <a:r>
            <a:rPr lang="en-US" sz="2000">
              <a:solidFill>
                <a:schemeClr val="dk1"/>
              </a:solidFill>
              <a:effectLst/>
              <a:latin typeface="+mn-lt"/>
              <a:ea typeface="+mn-ea"/>
              <a:cs typeface="+mn-cs"/>
            </a:rPr>
            <a:t> If I </a:t>
          </a:r>
          <a:r>
            <a:rPr lang="en-US" sz="2000" b="1">
              <a:solidFill>
                <a:schemeClr val="dk1"/>
              </a:solidFill>
              <a:effectLst/>
              <a:latin typeface="+mn-lt"/>
              <a:ea typeface="+mn-ea"/>
              <a:cs typeface="+mn-cs"/>
            </a:rPr>
            <a:t>filter</a:t>
          </a:r>
          <a:r>
            <a:rPr lang="en-US" sz="2000">
              <a:solidFill>
                <a:schemeClr val="dk1"/>
              </a:solidFill>
              <a:effectLst/>
              <a:latin typeface="+mn-lt"/>
              <a:ea typeface="+mn-ea"/>
              <a:cs typeface="+mn-cs"/>
            </a:rPr>
            <a:t> the </a:t>
          </a:r>
          <a:r>
            <a:rPr lang="en-US" sz="2000" b="1">
              <a:solidFill>
                <a:schemeClr val="dk1"/>
              </a:solidFill>
              <a:effectLst/>
              <a:latin typeface="+mn-lt"/>
              <a:ea typeface="+mn-ea"/>
              <a:cs typeface="+mn-cs"/>
            </a:rPr>
            <a:t>Region</a:t>
          </a:r>
          <a:r>
            <a:rPr lang="en-US" sz="2000">
              <a:solidFill>
                <a:schemeClr val="dk1"/>
              </a:solidFill>
              <a:effectLst/>
              <a:latin typeface="+mn-lt"/>
              <a:ea typeface="+mn-ea"/>
              <a:cs typeface="+mn-cs"/>
            </a:rPr>
            <a:t> column to show only "West," Excel will temporarily hide the 11 rows from other regions. I only see the 9 "West" rows, which is helpful for quick analysis. The hidden data isn't deleted, just out of sight.</a:t>
          </a:r>
        </a:p>
        <a:p>
          <a:r>
            <a:rPr lang="en-US" sz="2000" b="1">
              <a:solidFill>
                <a:schemeClr val="dk1"/>
              </a:solidFill>
              <a:effectLst/>
              <a:latin typeface="+mn-lt"/>
              <a:ea typeface="+mn-ea"/>
              <a:cs typeface="+mn-cs"/>
            </a:rPr>
            <a:t>Key Difference:</a:t>
          </a:r>
          <a:r>
            <a:rPr lang="en-US" sz="2000">
              <a:solidFill>
                <a:schemeClr val="dk1"/>
              </a:solidFill>
              <a:effectLst/>
              <a:latin typeface="+mn-lt"/>
              <a:ea typeface="+mn-ea"/>
              <a:cs typeface="+mn-cs"/>
            </a:rPr>
            <a:t> Basically, </a:t>
          </a:r>
          <a:r>
            <a:rPr lang="en-US" sz="2000" b="1">
              <a:solidFill>
                <a:schemeClr val="dk1"/>
              </a:solidFill>
              <a:effectLst/>
              <a:latin typeface="+mn-lt"/>
              <a:ea typeface="+mn-ea"/>
              <a:cs typeface="+mn-cs"/>
            </a:rPr>
            <a:t>Sorting just changes the order of the visible data</a:t>
          </a:r>
          <a:r>
            <a:rPr lang="en-US" sz="2000">
              <a:solidFill>
                <a:schemeClr val="dk1"/>
              </a:solidFill>
              <a:effectLst/>
              <a:latin typeface="+mn-lt"/>
              <a:ea typeface="+mn-ea"/>
              <a:cs typeface="+mn-cs"/>
            </a:rPr>
            <a:t>, while </a:t>
          </a:r>
          <a:r>
            <a:rPr lang="en-US" sz="2000" b="1">
              <a:solidFill>
                <a:schemeClr val="dk1"/>
              </a:solidFill>
              <a:effectLst/>
              <a:latin typeface="+mn-lt"/>
              <a:ea typeface="+mn-ea"/>
              <a:cs typeface="+mn-cs"/>
            </a:rPr>
            <a:t>Filtering makes non-matching data disappear</a:t>
          </a:r>
          <a:r>
            <a:rPr lang="en-US" sz="2000">
              <a:solidFill>
                <a:schemeClr val="dk1"/>
              </a:solidFill>
              <a:effectLst/>
              <a:latin typeface="+mn-lt"/>
              <a:ea typeface="+mn-ea"/>
              <a:cs typeface="+mn-cs"/>
            </a:rPr>
            <a:t> temporarily.</a:t>
          </a:r>
        </a:p>
        <a:p>
          <a:endParaRPr lang="en-US" sz="1100">
            <a:ln>
              <a:noFill/>
            </a:ln>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160020</xdr:colOff>
      <xdr:row>3</xdr:row>
      <xdr:rowOff>179070</xdr:rowOff>
    </xdr:from>
    <xdr:to>
      <xdr:col>10</xdr:col>
      <xdr:colOff>464820</xdr:colOff>
      <xdr:row>18</xdr:row>
      <xdr:rowOff>179070</xdr:rowOff>
    </xdr:to>
    <xdr:graphicFrame macro="">
      <xdr:nvGraphicFramePr>
        <xdr:cNvPr id="2" name="Chart 1">
          <a:extLst>
            <a:ext uri="{FF2B5EF4-FFF2-40B4-BE49-F238E27FC236}">
              <a16:creationId xmlns:a16="http://schemas.microsoft.com/office/drawing/2014/main" id="{2B5D0363-94E5-4EFD-A36D-4EE3F8E289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266700</xdr:colOff>
      <xdr:row>8</xdr:row>
      <xdr:rowOff>7621</xdr:rowOff>
    </xdr:from>
    <xdr:to>
      <xdr:col>8</xdr:col>
      <xdr:colOff>411480</xdr:colOff>
      <xdr:row>12</xdr:row>
      <xdr:rowOff>60961</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19ABF82F-DE87-AD5B-23EF-7E9A098591E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059680" y="1699261"/>
              <a:ext cx="1828800" cy="1242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3</xdr:row>
      <xdr:rowOff>45720</xdr:rowOff>
    </xdr:from>
    <xdr:to>
      <xdr:col>22</xdr:col>
      <xdr:colOff>152400</xdr:colOff>
      <xdr:row>27</xdr:row>
      <xdr:rowOff>99060</xdr:rowOff>
    </xdr:to>
    <xdr:sp macro="" textlink="">
      <xdr:nvSpPr>
        <xdr:cNvPr id="2" name="TextBox 1">
          <a:extLst>
            <a:ext uri="{FF2B5EF4-FFF2-40B4-BE49-F238E27FC236}">
              <a16:creationId xmlns:a16="http://schemas.microsoft.com/office/drawing/2014/main" id="{0035ED23-A823-21BE-C248-614B659A95F7}"/>
            </a:ext>
          </a:extLst>
        </xdr:cNvPr>
        <xdr:cNvSpPr txBox="1"/>
      </xdr:nvSpPr>
      <xdr:spPr>
        <a:xfrm>
          <a:off x="1219200" y="594360"/>
          <a:ext cx="12344400" cy="4442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dk1"/>
              </a:solidFill>
              <a:effectLst/>
              <a:latin typeface="+mn-lt"/>
              <a:ea typeface="+mn-ea"/>
              <a:cs typeface="+mn-cs"/>
            </a:rPr>
            <a:t>Question 7: Why are Dashboards important for decision-making in business analysis?</a:t>
          </a:r>
          <a:endParaRPr lang="en-US" sz="2000">
            <a:solidFill>
              <a:schemeClr val="dk1"/>
            </a:solidFill>
            <a:effectLst/>
            <a:latin typeface="+mn-lt"/>
            <a:ea typeface="+mn-ea"/>
            <a:cs typeface="+mn-cs"/>
          </a:endParaRPr>
        </a:p>
        <a:p>
          <a:r>
            <a:rPr lang="en-US" sz="1600" b="1">
              <a:solidFill>
                <a:schemeClr val="dk1"/>
              </a:solidFill>
              <a:effectLst/>
              <a:latin typeface="+mn-lt"/>
              <a:ea typeface="+mn-ea"/>
              <a:cs typeface="+mn-cs"/>
            </a:rPr>
            <a:t>Answer:</a:t>
          </a:r>
          <a:r>
            <a:rPr lang="en-US" sz="1600">
              <a:solidFill>
                <a:schemeClr val="dk1"/>
              </a:solidFill>
              <a:effectLst/>
              <a:latin typeface="+mn-lt"/>
              <a:ea typeface="+mn-ea"/>
              <a:cs typeface="+mn-cs"/>
            </a:rPr>
            <a:t> </a:t>
          </a:r>
          <a:r>
            <a:rPr lang="en-US" sz="1600"/>
            <a:t>Dashboards are absolutely essential for business decision-making because they take all the raw, complicated data and make it immediately useful. They act as a central control panel for the whole business:</a:t>
          </a:r>
        </a:p>
        <a:p>
          <a:r>
            <a:rPr lang="en-US" sz="1600" b="1"/>
            <a:t>a) See What's Happening Now:</a:t>
          </a:r>
          <a:r>
            <a:rPr lang="en-US" sz="1600"/>
            <a:t> They give you </a:t>
          </a:r>
          <a:r>
            <a:rPr lang="en-US" sz="1600" b="1"/>
            <a:t>real-time insights</a:t>
          </a:r>
          <a:r>
            <a:rPr lang="en-US" sz="1600"/>
            <a:t>—you see the latest sales figures and trends right away, not days or weeks later.</a:t>
          </a:r>
        </a:p>
        <a:p>
          <a:r>
            <a:rPr lang="en-US" sz="1600" b="1"/>
            <a:t>b) Easy to Understand:</a:t>
          </a:r>
          <a:r>
            <a:rPr lang="en-US" sz="1600"/>
            <a:t> By using charts and graphs (</a:t>
          </a:r>
          <a:r>
            <a:rPr lang="en-US" sz="1600" b="1"/>
            <a:t>data visualization</a:t>
          </a:r>
          <a:r>
            <a:rPr lang="en-US" sz="1600"/>
            <a:t>), they convert complex numbers into simple, easy-to-read pictures that everyone can quickly understand.</a:t>
          </a:r>
        </a:p>
        <a:p>
          <a:r>
            <a:rPr lang="en-US" sz="1600" b="1"/>
            <a:t>c) Focus on the Goal:</a:t>
          </a:r>
          <a:r>
            <a:rPr lang="en-US" sz="1600"/>
            <a:t> They let you easily </a:t>
          </a:r>
          <a:r>
            <a:rPr lang="en-US" sz="1600" b="1"/>
            <a:t>track all your important KPIs</a:t>
          </a:r>
          <a:r>
            <a:rPr lang="en-US" sz="1600"/>
            <a:t> (Key Performance Indicators) across different parts of the business to ensure everyone is on target.</a:t>
          </a:r>
        </a:p>
        <a:p>
          <a:r>
            <a:rPr lang="en-US" sz="1600" b="1"/>
            <a:t>c) Speed Up Decisions:</a:t>
          </a:r>
          <a:r>
            <a:rPr lang="en-US" sz="1600"/>
            <a:t> Executives can quickly see what’s working and what isn't, which allows them to </a:t>
          </a:r>
          <a:r>
            <a:rPr lang="en-US" sz="1600" b="1"/>
            <a:t>make informed decisions much faster</a:t>
          </a:r>
          <a:r>
            <a:rPr lang="en-US" sz="1600"/>
            <a:t> without having to dig through massive spreadsheets.</a:t>
          </a:r>
        </a:p>
        <a:p>
          <a:r>
            <a:rPr lang="en-US" sz="1600" b="1"/>
            <a:t>d) Spot Opportunities:</a:t>
          </a:r>
          <a:r>
            <a:rPr lang="en-US" sz="1600"/>
            <a:t> Dashboards help </a:t>
          </a:r>
          <a:r>
            <a:rPr lang="en-US" sz="1600" b="1"/>
            <a:t>reveal hidden trends and patterns</a:t>
          </a:r>
          <a:r>
            <a:rPr lang="en-US" sz="1600"/>
            <a:t>—like noticing a product suddenly taking off or seeing a regional sales slump starting.</a:t>
          </a:r>
        </a:p>
        <a:p>
          <a:r>
            <a:rPr lang="en-US" sz="1600" b="1"/>
            <a:t>e) Measure Success:</a:t>
          </a:r>
          <a:r>
            <a:rPr lang="en-US" sz="1600"/>
            <a:t> They create </a:t>
          </a:r>
          <a:r>
            <a:rPr lang="en-US" sz="1600" b="1"/>
            <a:t>accountability</a:t>
          </a:r>
          <a:r>
            <a:rPr lang="en-US" sz="1600"/>
            <a:t> by clearly showing how current performance stacks up against previous targets and goals.</a:t>
          </a:r>
        </a:p>
        <a:p>
          <a:r>
            <a:rPr lang="en-US" sz="1600" b="1"/>
            <a:t>f) Compare Quickly:</a:t>
          </a:r>
          <a:r>
            <a:rPr lang="en-US" sz="1600"/>
            <a:t> It’s easy to perform </a:t>
          </a:r>
          <a:r>
            <a:rPr lang="en-US" sz="1600" b="1"/>
            <a:t>comparative analysis</a:t>
          </a:r>
          <a:r>
            <a:rPr lang="en-US" sz="1600"/>
            <a:t>, letting you check which region is performing best or which product is bringing in the most revenue.</a:t>
          </a:r>
        </a:p>
        <a:p>
          <a:r>
            <a:rPr lang="en-US" sz="1600" b="1"/>
            <a:t>g)</a:t>
          </a:r>
          <a:r>
            <a:rPr lang="en-US" sz="1600" b="1" baseline="0"/>
            <a:t> </a:t>
          </a:r>
          <a:r>
            <a:rPr lang="en-US" sz="1600" b="1"/>
            <a:t>Trust the Numbers:</a:t>
          </a:r>
          <a:r>
            <a:rPr lang="en-US" sz="1600"/>
            <a:t> Since the calculations are automated and linked directly to the data, they help </a:t>
          </a:r>
          <a:r>
            <a:rPr lang="en-US" sz="1600" b="1"/>
            <a:t>reduce manual errors</a:t>
          </a:r>
          <a:r>
            <a:rPr lang="en-US" sz="1600"/>
            <a:t> and increase confidence in the reports.</a:t>
          </a:r>
        </a:p>
        <a:p>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121920</xdr:colOff>
      <xdr:row>14</xdr:row>
      <xdr:rowOff>0</xdr:rowOff>
    </xdr:from>
    <xdr:to>
      <xdr:col>8</xdr:col>
      <xdr:colOff>586740</xdr:colOff>
      <xdr:row>29</xdr:row>
      <xdr:rowOff>0</xdr:rowOff>
    </xdr:to>
    <xdr:graphicFrame macro="">
      <xdr:nvGraphicFramePr>
        <xdr:cNvPr id="2" name="Chart 1">
          <a:extLst>
            <a:ext uri="{FF2B5EF4-FFF2-40B4-BE49-F238E27FC236}">
              <a16:creationId xmlns:a16="http://schemas.microsoft.com/office/drawing/2014/main" id="{8FFF7CFE-D748-427F-B252-897A12C663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182880</xdr:colOff>
      <xdr:row>34</xdr:row>
      <xdr:rowOff>7620</xdr:rowOff>
    </xdr:from>
    <xdr:to>
      <xdr:col>9</xdr:col>
      <xdr:colOff>38100</xdr:colOff>
      <xdr:row>49</xdr:row>
      <xdr:rowOff>7620</xdr:rowOff>
    </xdr:to>
    <xdr:graphicFrame macro="">
      <xdr:nvGraphicFramePr>
        <xdr:cNvPr id="3" name="Chart 2">
          <a:extLst>
            <a:ext uri="{FF2B5EF4-FFF2-40B4-BE49-F238E27FC236}">
              <a16:creationId xmlns:a16="http://schemas.microsoft.com/office/drawing/2014/main" id="{772FADE5-0964-41CD-B3A5-38F4B49343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601980</xdr:colOff>
      <xdr:row>2</xdr:row>
      <xdr:rowOff>15240</xdr:rowOff>
    </xdr:from>
    <xdr:to>
      <xdr:col>20</xdr:col>
      <xdr:colOff>297180</xdr:colOff>
      <xdr:row>14</xdr:row>
      <xdr:rowOff>83820</xdr:rowOff>
    </xdr:to>
    <xdr:sp macro="" textlink="">
      <xdr:nvSpPr>
        <xdr:cNvPr id="4" name="TextBox 3">
          <a:extLst>
            <a:ext uri="{FF2B5EF4-FFF2-40B4-BE49-F238E27FC236}">
              <a16:creationId xmlns:a16="http://schemas.microsoft.com/office/drawing/2014/main" id="{43B684C1-941E-CCEE-E84D-4287FCA0E5AC}"/>
            </a:ext>
          </a:extLst>
        </xdr:cNvPr>
        <xdr:cNvSpPr txBox="1"/>
      </xdr:nvSpPr>
      <xdr:spPr>
        <a:xfrm>
          <a:off x="7627620" y="502920"/>
          <a:ext cx="5791200" cy="2423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Question 8:</a:t>
          </a:r>
        </a:p>
        <a:p>
          <a:r>
            <a:rPr lang="en-US" sz="2800" b="1"/>
            <a:t>Create a Dashboard that includes: </a:t>
          </a:r>
        </a:p>
        <a:p>
          <a:r>
            <a:rPr lang="en-US" sz="2800" b="1"/>
            <a:t>a)</a:t>
          </a:r>
          <a:r>
            <a:rPr lang="en-US" sz="2800" b="1" baseline="0"/>
            <a:t> </a:t>
          </a:r>
          <a:r>
            <a:rPr lang="en-US" sz="2800" b="1"/>
            <a:t>Sales by Region (PivotTable + Chart)</a:t>
          </a:r>
        </a:p>
        <a:p>
          <a:r>
            <a:rPr lang="en-US" sz="2800" b="1"/>
            <a:t>b) Product Filter (Slicer) </a:t>
          </a:r>
        </a:p>
        <a:p>
          <a:r>
            <a:rPr lang="en-US" sz="2800" b="1"/>
            <a:t>c) Monthly Trend (Line Chart)</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7620</xdr:colOff>
      <xdr:row>0</xdr:row>
      <xdr:rowOff>0</xdr:rowOff>
    </xdr:from>
    <xdr:to>
      <xdr:col>25</xdr:col>
      <xdr:colOff>22860</xdr:colOff>
      <xdr:row>30</xdr:row>
      <xdr:rowOff>152400</xdr:rowOff>
    </xdr:to>
    <xdr:sp macro="" textlink="">
      <xdr:nvSpPr>
        <xdr:cNvPr id="5" name="Rectangle 4">
          <a:extLst>
            <a:ext uri="{FF2B5EF4-FFF2-40B4-BE49-F238E27FC236}">
              <a16:creationId xmlns:a16="http://schemas.microsoft.com/office/drawing/2014/main" id="{83A901C8-CBCF-6F84-6B7E-EF4231107E5D}"/>
            </a:ext>
          </a:extLst>
        </xdr:cNvPr>
        <xdr:cNvSpPr/>
      </xdr:nvSpPr>
      <xdr:spPr>
        <a:xfrm>
          <a:off x="7620" y="0"/>
          <a:ext cx="15925800" cy="5638800"/>
        </a:xfrm>
        <a:prstGeom prst="rect">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205740</xdr:colOff>
      <xdr:row>0</xdr:row>
      <xdr:rowOff>68580</xdr:rowOff>
    </xdr:from>
    <xdr:to>
      <xdr:col>20</xdr:col>
      <xdr:colOff>53340</xdr:colOff>
      <xdr:row>30</xdr:row>
      <xdr:rowOff>30480</xdr:rowOff>
    </xdr:to>
    <xdr:grpSp>
      <xdr:nvGrpSpPr>
        <xdr:cNvPr id="27" name="Group 26">
          <a:extLst>
            <a:ext uri="{FF2B5EF4-FFF2-40B4-BE49-F238E27FC236}">
              <a16:creationId xmlns:a16="http://schemas.microsoft.com/office/drawing/2014/main" id="{C0F8E6DF-51C0-AF10-61D6-4670038CDE34}"/>
            </a:ext>
          </a:extLst>
        </xdr:cNvPr>
        <xdr:cNvGrpSpPr/>
      </xdr:nvGrpSpPr>
      <xdr:grpSpPr>
        <a:xfrm>
          <a:off x="1424940" y="68580"/>
          <a:ext cx="11490960" cy="5448300"/>
          <a:chOff x="83820" y="68580"/>
          <a:chExt cx="11490960" cy="5448300"/>
        </a:xfrm>
      </xdr:grpSpPr>
      <xdr:sp macro="" textlink="">
        <xdr:nvSpPr>
          <xdr:cNvPr id="6" name="Rectangle: Rounded Corners 5">
            <a:extLst>
              <a:ext uri="{FF2B5EF4-FFF2-40B4-BE49-F238E27FC236}">
                <a16:creationId xmlns:a16="http://schemas.microsoft.com/office/drawing/2014/main" id="{32FD466B-4383-44AC-D62F-8E9406BA6652}"/>
              </a:ext>
            </a:extLst>
          </xdr:cNvPr>
          <xdr:cNvSpPr/>
        </xdr:nvSpPr>
        <xdr:spPr>
          <a:xfrm>
            <a:off x="83820" y="68580"/>
            <a:ext cx="1905000" cy="5448300"/>
          </a:xfrm>
          <a:prstGeom prst="roundRect">
            <a:avLst>
              <a:gd name="adj" fmla="val 9067"/>
            </a:avLst>
          </a:prstGeom>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100FAEF7-AC9E-3FB1-E1CB-AB01407FF898}"/>
              </a:ext>
            </a:extLst>
          </xdr:cNvPr>
          <xdr:cNvSpPr/>
        </xdr:nvSpPr>
        <xdr:spPr>
          <a:xfrm>
            <a:off x="2095500" y="68580"/>
            <a:ext cx="2606040" cy="1242060"/>
          </a:xfrm>
          <a:prstGeom prst="round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B4AB8CE2-64AA-4F23-A7CC-8AED64576DA1}"/>
              </a:ext>
            </a:extLst>
          </xdr:cNvPr>
          <xdr:cNvSpPr/>
        </xdr:nvSpPr>
        <xdr:spPr>
          <a:xfrm>
            <a:off x="5204460" y="68580"/>
            <a:ext cx="2667000" cy="1242060"/>
          </a:xfrm>
          <a:prstGeom prst="round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8FF92EB7-CD85-A31E-6CA1-63DC95777F18}"/>
              </a:ext>
            </a:extLst>
          </xdr:cNvPr>
          <xdr:cNvSpPr/>
        </xdr:nvSpPr>
        <xdr:spPr>
          <a:xfrm>
            <a:off x="8374380" y="68580"/>
            <a:ext cx="2788920" cy="1242060"/>
          </a:xfrm>
          <a:prstGeom prst="round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621E1D56-EF34-0D0F-F6DC-4064C5B205C0}"/>
              </a:ext>
            </a:extLst>
          </xdr:cNvPr>
          <xdr:cNvSpPr txBox="1"/>
        </xdr:nvSpPr>
        <xdr:spPr>
          <a:xfrm>
            <a:off x="2659380" y="144780"/>
            <a:ext cx="143256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Segoe UI Semibold" panose="020B0702040204020203" pitchFamily="34" charset="0"/>
                <a:cs typeface="Segoe UI Semibold" panose="020B0702040204020203" pitchFamily="34" charset="0"/>
              </a:rPr>
              <a:t>Total Sales</a:t>
            </a:r>
          </a:p>
        </xdr:txBody>
      </xdr:sp>
      <xdr:sp macro="" textlink="">
        <xdr:nvSpPr>
          <xdr:cNvPr id="14" name="TextBox 13">
            <a:extLst>
              <a:ext uri="{FF2B5EF4-FFF2-40B4-BE49-F238E27FC236}">
                <a16:creationId xmlns:a16="http://schemas.microsoft.com/office/drawing/2014/main" id="{569B442E-C0F4-5C6E-1492-C341CFE5E25F}"/>
              </a:ext>
            </a:extLst>
          </xdr:cNvPr>
          <xdr:cNvSpPr txBox="1"/>
        </xdr:nvSpPr>
        <xdr:spPr>
          <a:xfrm>
            <a:off x="5516880" y="144780"/>
            <a:ext cx="193548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a:solidFill>
                  <a:schemeClr val="bg1"/>
                </a:solidFill>
                <a:effectLst/>
                <a:latin typeface="Segoe UI Semibold" panose="020B0702040204020203" pitchFamily="34" charset="0"/>
                <a:ea typeface="+mn-ea"/>
                <a:cs typeface="Segoe UI Semibold" panose="020B0702040204020203" pitchFamily="34" charset="0"/>
              </a:rPr>
              <a:t>Total</a:t>
            </a:r>
            <a:r>
              <a:rPr lang="en-US" sz="1800" b="0" i="0">
                <a:solidFill>
                  <a:schemeClr val="bg1"/>
                </a:solidFill>
                <a:effectLst/>
                <a:latin typeface="Segoe UI Semibold" panose="020B0702040204020203" pitchFamily="34" charset="0"/>
                <a:ea typeface="+mn-ea"/>
                <a:cs typeface="Segoe UI Semibold" panose="020B0702040204020203" pitchFamily="34" charset="0"/>
              </a:rPr>
              <a:t> Units Sold</a:t>
            </a:r>
            <a:endParaRPr lang="en-US" sz="1800">
              <a:solidFill>
                <a:schemeClr val="bg1"/>
              </a:solidFill>
              <a:latin typeface="Segoe UI Semibold" panose="020B0702040204020203" pitchFamily="34" charset="0"/>
              <a:cs typeface="Segoe UI Semibold" panose="020B0702040204020203" pitchFamily="34" charset="0"/>
            </a:endParaRPr>
          </a:p>
        </xdr:txBody>
      </xdr:sp>
      <xdr:sp macro="" textlink="">
        <xdr:nvSpPr>
          <xdr:cNvPr id="15" name="TextBox 14">
            <a:extLst>
              <a:ext uri="{FF2B5EF4-FFF2-40B4-BE49-F238E27FC236}">
                <a16:creationId xmlns:a16="http://schemas.microsoft.com/office/drawing/2014/main" id="{963E4B07-023B-D6F7-3188-B854A4B5EE94}"/>
              </a:ext>
            </a:extLst>
          </xdr:cNvPr>
          <xdr:cNvSpPr txBox="1"/>
        </xdr:nvSpPr>
        <xdr:spPr>
          <a:xfrm>
            <a:off x="9029700" y="144780"/>
            <a:ext cx="16916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a:solidFill>
                  <a:schemeClr val="bg1"/>
                </a:solidFill>
                <a:effectLst/>
                <a:latin typeface="Segoe UI Semibold" panose="020B0702040204020203" pitchFamily="34" charset="0"/>
                <a:ea typeface="+mn-ea"/>
                <a:cs typeface="Segoe UI Semibold" panose="020B0702040204020203" pitchFamily="34" charset="0"/>
              </a:rPr>
              <a:t>Average Sale</a:t>
            </a:r>
            <a:endParaRPr lang="en-US" sz="2000">
              <a:solidFill>
                <a:schemeClr val="bg1"/>
              </a:solidFill>
              <a:latin typeface="Segoe UI Semibold" panose="020B0702040204020203" pitchFamily="34" charset="0"/>
              <a:cs typeface="Segoe UI Semibold" panose="020B0702040204020203" pitchFamily="34" charset="0"/>
            </a:endParaRPr>
          </a:p>
        </xdr:txBody>
      </xdr:sp>
      <xdr:sp macro="" textlink="">
        <xdr:nvSpPr>
          <xdr:cNvPr id="16" name="TextBox 15">
            <a:extLst>
              <a:ext uri="{FF2B5EF4-FFF2-40B4-BE49-F238E27FC236}">
                <a16:creationId xmlns:a16="http://schemas.microsoft.com/office/drawing/2014/main" id="{9E6166F4-2173-ABA5-6450-D48DFD6055C7}"/>
              </a:ext>
            </a:extLst>
          </xdr:cNvPr>
          <xdr:cNvSpPr txBox="1"/>
        </xdr:nvSpPr>
        <xdr:spPr>
          <a:xfrm>
            <a:off x="2438400" y="419100"/>
            <a:ext cx="1981200" cy="883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0" i="0" u="none" strike="noStrike">
                <a:solidFill>
                  <a:schemeClr val="bg1"/>
                </a:solidFill>
                <a:effectLst/>
                <a:latin typeface="Segoe UI Black" panose="020B0A02040204020203" pitchFamily="34" charset="0"/>
                <a:ea typeface="Segoe UI Black" panose="020B0A02040204020203" pitchFamily="34" charset="0"/>
                <a:cs typeface="+mn-cs"/>
              </a:rPr>
              <a:t>$6,829</a:t>
            </a:r>
            <a:r>
              <a:rPr lang="en-US" sz="4000">
                <a:solidFill>
                  <a:schemeClr val="bg1"/>
                </a:solidFill>
                <a:latin typeface="Segoe UI Black" panose="020B0A02040204020203" pitchFamily="34" charset="0"/>
                <a:ea typeface="Segoe UI Black" panose="020B0A02040204020203" pitchFamily="34" charset="0"/>
              </a:rPr>
              <a:t> </a:t>
            </a:r>
          </a:p>
        </xdr:txBody>
      </xdr:sp>
      <xdr:sp macro="" textlink="">
        <xdr:nvSpPr>
          <xdr:cNvPr id="17" name="TextBox 16">
            <a:extLst>
              <a:ext uri="{FF2B5EF4-FFF2-40B4-BE49-F238E27FC236}">
                <a16:creationId xmlns:a16="http://schemas.microsoft.com/office/drawing/2014/main" id="{E5468204-D298-72CA-D42D-7379998C14BF}"/>
              </a:ext>
            </a:extLst>
          </xdr:cNvPr>
          <xdr:cNvSpPr txBox="1"/>
        </xdr:nvSpPr>
        <xdr:spPr>
          <a:xfrm>
            <a:off x="5821680" y="396240"/>
            <a:ext cx="128778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0" i="0" u="none" strike="noStrike">
                <a:solidFill>
                  <a:schemeClr val="bg1"/>
                </a:solidFill>
                <a:effectLst/>
                <a:latin typeface="Segoe UI Black" panose="020B0A02040204020203" pitchFamily="34" charset="0"/>
                <a:ea typeface="Segoe UI Black" panose="020B0A02040204020203" pitchFamily="34" charset="0"/>
                <a:cs typeface="+mn-cs"/>
              </a:rPr>
              <a:t>1198</a:t>
            </a:r>
            <a:r>
              <a:rPr lang="en-US" sz="4000">
                <a:solidFill>
                  <a:schemeClr val="bg1"/>
                </a:solidFill>
                <a:latin typeface="Segoe UI Black" panose="020B0A02040204020203" pitchFamily="34" charset="0"/>
                <a:ea typeface="Segoe UI Black" panose="020B0A02040204020203" pitchFamily="34" charset="0"/>
              </a:rPr>
              <a:t> </a:t>
            </a:r>
          </a:p>
        </xdr:txBody>
      </xdr:sp>
      <mc:AlternateContent xmlns:mc="http://schemas.openxmlformats.org/markup-compatibility/2006" xmlns:a14="http://schemas.microsoft.com/office/drawing/2010/main">
        <mc:Choice Requires="a14">
          <xdr:graphicFrame macro="">
            <xdr:nvGraphicFramePr>
              <xdr:cNvPr id="19" name="Product 1">
                <a:extLst>
                  <a:ext uri="{FF2B5EF4-FFF2-40B4-BE49-F238E27FC236}">
                    <a16:creationId xmlns:a16="http://schemas.microsoft.com/office/drawing/2014/main" id="{08AF47F9-81F5-4F5F-8F9D-809598E931B1}"/>
                  </a:ext>
                </a:extLst>
              </xdr:cNvPr>
              <xdr:cNvGraphicFramePr/>
            </xdr:nvGraphicFramePr>
            <xdr:xfrm>
              <a:off x="121920" y="1424940"/>
              <a:ext cx="1828800" cy="121920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463040" y="1424940"/>
                <a:ext cx="18288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8" name="TextBox 17">
            <a:extLst>
              <a:ext uri="{FF2B5EF4-FFF2-40B4-BE49-F238E27FC236}">
                <a16:creationId xmlns:a16="http://schemas.microsoft.com/office/drawing/2014/main" id="{61385259-F3F3-F341-9F03-0358B2F52F55}"/>
              </a:ext>
            </a:extLst>
          </xdr:cNvPr>
          <xdr:cNvSpPr txBox="1"/>
        </xdr:nvSpPr>
        <xdr:spPr>
          <a:xfrm>
            <a:off x="9151620" y="419100"/>
            <a:ext cx="2423160" cy="944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0" i="0" u="none" strike="noStrike">
                <a:solidFill>
                  <a:schemeClr val="bg1"/>
                </a:solidFill>
                <a:effectLst/>
                <a:latin typeface="Segoe UI Black" panose="020B0A02040204020203" pitchFamily="34" charset="0"/>
                <a:ea typeface="Segoe UI Black" panose="020B0A02040204020203" pitchFamily="34" charset="0"/>
                <a:cs typeface="+mn-cs"/>
              </a:rPr>
              <a:t>$341</a:t>
            </a:r>
            <a:r>
              <a:rPr lang="en-US" sz="4000">
                <a:solidFill>
                  <a:schemeClr val="bg1"/>
                </a:solidFill>
                <a:latin typeface="Segoe UI Black" panose="020B0A02040204020203" pitchFamily="34" charset="0"/>
                <a:ea typeface="Segoe UI Black" panose="020B0A02040204020203" pitchFamily="34" charset="0"/>
              </a:rPr>
              <a:t> </a:t>
            </a:r>
          </a:p>
        </xdr:txBody>
      </xdr:sp>
      <xdr:pic>
        <xdr:nvPicPr>
          <xdr:cNvPr id="22" name="Picture 21">
            <a:extLst>
              <a:ext uri="{FF2B5EF4-FFF2-40B4-BE49-F238E27FC236}">
                <a16:creationId xmlns:a16="http://schemas.microsoft.com/office/drawing/2014/main" id="{9864D8C7-5322-E8A4-583C-9FFDA366AB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 y="2834640"/>
            <a:ext cx="1813192" cy="121158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3" name="Rectangle: Rounded Corners 22">
            <a:extLst>
              <a:ext uri="{FF2B5EF4-FFF2-40B4-BE49-F238E27FC236}">
                <a16:creationId xmlns:a16="http://schemas.microsoft.com/office/drawing/2014/main" id="{3D44D7F1-2D31-E63E-91C2-6F8445079F9A}"/>
              </a:ext>
            </a:extLst>
          </xdr:cNvPr>
          <xdr:cNvSpPr/>
        </xdr:nvSpPr>
        <xdr:spPr>
          <a:xfrm>
            <a:off x="2087880" y="1501140"/>
            <a:ext cx="4518660" cy="38938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Rounded Corners 23">
            <a:extLst>
              <a:ext uri="{FF2B5EF4-FFF2-40B4-BE49-F238E27FC236}">
                <a16:creationId xmlns:a16="http://schemas.microsoft.com/office/drawing/2014/main" id="{8DDA03FA-399E-F253-EE12-0A2B7D4FD727}"/>
              </a:ext>
            </a:extLst>
          </xdr:cNvPr>
          <xdr:cNvSpPr/>
        </xdr:nvSpPr>
        <xdr:spPr>
          <a:xfrm>
            <a:off x="6667500" y="1508760"/>
            <a:ext cx="4518660" cy="38938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5" name="Chart 24">
            <a:extLst>
              <a:ext uri="{FF2B5EF4-FFF2-40B4-BE49-F238E27FC236}">
                <a16:creationId xmlns:a16="http://schemas.microsoft.com/office/drawing/2014/main" id="{245350F9-CC34-443C-8214-D3E3BD88A5E8}"/>
              </a:ext>
            </a:extLst>
          </xdr:cNvPr>
          <xdr:cNvGraphicFramePr>
            <a:graphicFrameLocks/>
          </xdr:cNvGraphicFramePr>
        </xdr:nvGraphicFramePr>
        <xdr:xfrm>
          <a:off x="2133600" y="1615440"/>
          <a:ext cx="4457700" cy="366522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6" name="Chart 25">
            <a:extLst>
              <a:ext uri="{FF2B5EF4-FFF2-40B4-BE49-F238E27FC236}">
                <a16:creationId xmlns:a16="http://schemas.microsoft.com/office/drawing/2014/main" id="{5EE703A2-4178-4BD0-BD1B-F270BBFB62ED}"/>
              </a:ext>
            </a:extLst>
          </xdr:cNvPr>
          <xdr:cNvGraphicFramePr>
            <a:graphicFrameLocks/>
          </xdr:cNvGraphicFramePr>
        </xdr:nvGraphicFramePr>
        <xdr:xfrm>
          <a:off x="6720840" y="1569720"/>
          <a:ext cx="4526280" cy="370332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Book1"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Singh" refreshedDate="46001.83639837963" createdVersion="8" refreshedVersion="8" minRefreshableVersion="3" recordCount="20" xr:uid="{8C04994E-2FBC-447B-AD67-F6BE157141EE}">
  <cacheSource type="worksheet">
    <worksheetSource ref="A1:E21" sheet="DataSet"/>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ount="18">
        <n v="93"/>
        <n v="56"/>
        <n v="76"/>
        <n v="37"/>
        <n v="50"/>
        <n v="52"/>
        <n v="29"/>
        <n v="44"/>
        <n v="63"/>
        <n v="79"/>
        <n v="23"/>
        <n v="97"/>
        <n v="92"/>
        <n v="71"/>
        <n v="81"/>
        <n v="45"/>
        <n v="33"/>
        <n v="35"/>
      </sharedItems>
    </cacheField>
    <cacheField name="Days (Date)" numFmtId="0" databaseField="0">
      <fieldGroup base="0">
        <rangePr groupBy="days" startDate="2024-01-01T00:00:00" endDate="2024-07-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4"/>
        </groupItems>
      </fieldGroup>
    </cacheField>
    <cacheField name="Months (Date)" numFmtId="0" databaseField="0">
      <fieldGroup base="0">
        <rangePr groupBy="months" startDate="2024-01-01T00:00:00" endDate="2024-07-01T00:00:00"/>
        <groupItems count="14">
          <s v="&lt;1/1/2024"/>
          <s v="Jan"/>
          <s v="Feb"/>
          <s v="Mar"/>
          <s v="Apr"/>
          <s v="May"/>
          <s v="Jun"/>
          <s v="Jul"/>
          <s v="Aug"/>
          <s v="Sep"/>
          <s v="Oct"/>
          <s v="Nov"/>
          <s v="Dec"/>
          <s v="&gt;7/1/2024"/>
        </groupItems>
      </fieldGroup>
    </cacheField>
  </cacheFields>
  <extLst>
    <ext xmlns:x14="http://schemas.microsoft.com/office/spreadsheetml/2009/9/main" uri="{725AE2AE-9491-48be-B2B4-4EB974FC3084}">
      <x14:pivotCacheDefinition pivotCacheId="49921089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Singh" refreshedDate="46001.997119328706" createdVersion="8" refreshedVersion="8" minRefreshableVersion="3" recordCount="20" xr:uid="{BB8DC272-E553-4B57-95E5-1AB31D03E5BB}">
  <cacheSource type="worksheet">
    <worksheetSource ref="A1:E21" sheet="Sheet17" r:id="rId2"/>
  </cacheSource>
  <cacheFields count="6">
    <cacheField name="Date" numFmtId="22">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x v="0"/>
  </r>
  <r>
    <x v="1"/>
    <x v="1"/>
    <x v="1"/>
    <n v="348"/>
    <x v="1"/>
  </r>
  <r>
    <x v="2"/>
    <x v="1"/>
    <x v="0"/>
    <n v="247"/>
    <x v="2"/>
  </r>
  <r>
    <x v="3"/>
    <x v="0"/>
    <x v="2"/>
    <n v="230"/>
    <x v="3"/>
  </r>
  <r>
    <x v="4"/>
    <x v="0"/>
    <x v="0"/>
    <n v="281"/>
    <x v="4"/>
  </r>
  <r>
    <x v="5"/>
    <x v="0"/>
    <x v="1"/>
    <n v="334"/>
    <x v="5"/>
  </r>
  <r>
    <x v="6"/>
    <x v="1"/>
    <x v="2"/>
    <n v="417"/>
    <x v="6"/>
  </r>
  <r>
    <x v="7"/>
    <x v="0"/>
    <x v="2"/>
    <n v="441"/>
    <x v="7"/>
  </r>
  <r>
    <x v="8"/>
    <x v="1"/>
    <x v="0"/>
    <n v="76"/>
    <x v="8"/>
  </r>
  <r>
    <x v="9"/>
    <x v="0"/>
    <x v="1"/>
    <n v="441"/>
    <x v="9"/>
  </r>
  <r>
    <x v="10"/>
    <x v="1"/>
    <x v="0"/>
    <n v="205"/>
    <x v="10"/>
  </r>
  <r>
    <x v="11"/>
    <x v="0"/>
    <x v="1"/>
    <n v="483"/>
    <x v="11"/>
  </r>
  <r>
    <x v="12"/>
    <x v="2"/>
    <x v="0"/>
    <n v="467"/>
    <x v="11"/>
  </r>
  <r>
    <x v="13"/>
    <x v="0"/>
    <x v="0"/>
    <n v="380"/>
    <x v="12"/>
  </r>
  <r>
    <x v="14"/>
    <x v="1"/>
    <x v="1"/>
    <n v="497"/>
    <x v="13"/>
  </r>
  <r>
    <x v="15"/>
    <x v="1"/>
    <x v="0"/>
    <n v="409"/>
    <x v="14"/>
  </r>
  <r>
    <x v="16"/>
    <x v="0"/>
    <x v="1"/>
    <n v="53"/>
    <x v="15"/>
  </r>
  <r>
    <x v="17"/>
    <x v="0"/>
    <x v="2"/>
    <n v="398"/>
    <x v="16"/>
  </r>
  <r>
    <x v="18"/>
    <x v="3"/>
    <x v="1"/>
    <n v="347"/>
    <x v="17"/>
  </r>
  <r>
    <x v="19"/>
    <x v="1"/>
    <x v="2"/>
    <n v="319"/>
    <x v="1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West"/>
    <x v="0"/>
    <n v="456"/>
    <n v="93"/>
  </r>
  <r>
    <d v="2024-01-10T12:37:54"/>
    <s v="South"/>
    <x v="1"/>
    <n v="348"/>
    <n v="56"/>
  </r>
  <r>
    <d v="2024-01-20T01:15:47"/>
    <s v="South"/>
    <x v="0"/>
    <n v="247"/>
    <n v="76"/>
  </r>
  <r>
    <d v="2024-01-29T13:53:41"/>
    <s v="West"/>
    <x v="2"/>
    <n v="230"/>
    <n v="37"/>
  </r>
  <r>
    <d v="2024-02-08T02:31:35"/>
    <s v="West"/>
    <x v="0"/>
    <n v="281"/>
    <n v="50"/>
  </r>
  <r>
    <d v="2024-02-17T15:09:28"/>
    <s v="West"/>
    <x v="1"/>
    <n v="334"/>
    <n v="52"/>
  </r>
  <r>
    <d v="2024-02-27T03:47:22"/>
    <s v="South"/>
    <x v="2"/>
    <n v="417"/>
    <n v="29"/>
  </r>
  <r>
    <d v="2024-03-07T16:25:16"/>
    <s v="West"/>
    <x v="2"/>
    <n v="441"/>
    <n v="44"/>
  </r>
  <r>
    <d v="2024-03-17T05:03:09"/>
    <s v="South"/>
    <x v="0"/>
    <n v="76"/>
    <n v="63"/>
  </r>
  <r>
    <d v="2024-03-26T17:41:03"/>
    <s v="West"/>
    <x v="1"/>
    <n v="441"/>
    <n v="79"/>
  </r>
  <r>
    <d v="2024-04-05T06:18:57"/>
    <s v="South"/>
    <x v="0"/>
    <n v="205"/>
    <n v="23"/>
  </r>
  <r>
    <d v="2024-04-14T18:56:51"/>
    <s v="West"/>
    <x v="1"/>
    <n v="483"/>
    <n v="97"/>
  </r>
  <r>
    <d v="2024-04-24T07:34:44"/>
    <s v="East"/>
    <x v="0"/>
    <n v="467"/>
    <n v="97"/>
  </r>
  <r>
    <d v="2024-05-03T20:12:38"/>
    <s v="West"/>
    <x v="0"/>
    <n v="380"/>
    <n v="92"/>
  </r>
  <r>
    <d v="2024-05-13T08:50:32"/>
    <s v="South"/>
    <x v="1"/>
    <n v="497"/>
    <n v="71"/>
  </r>
  <r>
    <d v="2024-05-22T21:28:25"/>
    <s v="South"/>
    <x v="0"/>
    <n v="409"/>
    <n v="81"/>
  </r>
  <r>
    <d v="2024-06-01T10:06:19"/>
    <s v="West"/>
    <x v="1"/>
    <n v="53"/>
    <n v="45"/>
  </r>
  <r>
    <d v="2024-06-10T22:44:13"/>
    <s v="West"/>
    <x v="2"/>
    <n v="398"/>
    <n v="33"/>
  </r>
  <r>
    <d v="2024-06-20T11:22:06"/>
    <s v="North"/>
    <x v="1"/>
    <n v="347"/>
    <n v="35"/>
  </r>
  <r>
    <d v="2024-06-30T00:00:00"/>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3A4DA1-9F3B-4DDD-ACDA-214A0276D26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D5:E10"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3" baseField="0" baseItem="0"/>
  </dataFields>
  <formats count="18">
    <format dxfId="90">
      <pivotArea type="all" dataOnly="0" outline="0" fieldPosition="0"/>
    </format>
    <format dxfId="89">
      <pivotArea outline="0" collapsedLevelsAreSubtotals="1" fieldPosition="0"/>
    </format>
    <format dxfId="88">
      <pivotArea field="1" type="button" dataOnly="0" labelOnly="1" outline="0" axis="axisRow" fieldPosition="0"/>
    </format>
    <format dxfId="87">
      <pivotArea dataOnly="0" labelOnly="1" fieldPosition="0">
        <references count="1">
          <reference field="1" count="0"/>
        </references>
      </pivotArea>
    </format>
    <format dxfId="86">
      <pivotArea dataOnly="0" labelOnly="1" grandRow="1" outline="0" fieldPosition="0"/>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field="1" type="button" dataOnly="0" labelOnly="1" outline="0" axis="axisRow" fieldPosition="0"/>
    </format>
    <format dxfId="81">
      <pivotArea dataOnly="0" labelOnly="1" fieldPosition="0">
        <references count="1">
          <reference field="1" count="0"/>
        </references>
      </pivotArea>
    </format>
    <format dxfId="80">
      <pivotArea dataOnly="0" labelOnly="1" grandRow="1" outline="0" fieldPosition="0"/>
    </format>
    <format dxfId="79">
      <pivotArea dataOnly="0" labelOnly="1" outline="0" axis="axisValues" fieldPosition="0"/>
    </format>
    <format dxfId="78">
      <pivotArea type="all" dataOnly="0" outline="0" fieldPosition="0"/>
    </format>
    <format dxfId="77">
      <pivotArea outline="0" collapsedLevelsAreSubtotals="1" fieldPosition="0"/>
    </format>
    <format dxfId="76">
      <pivotArea field="1" type="button" dataOnly="0" labelOnly="1" outline="0" axis="axisRow" fieldPosition="0"/>
    </format>
    <format dxfId="75">
      <pivotArea dataOnly="0" labelOnly="1" fieldPosition="0">
        <references count="1">
          <reference field="1" count="0"/>
        </references>
      </pivotArea>
    </format>
    <format dxfId="74">
      <pivotArea dataOnly="0" labelOnly="1" grandRow="1" outline="0" fieldPosition="0"/>
    </format>
    <format dxfId="7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339D18-357E-46CE-9D9E-165890FC93D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Months">
  <location ref="B5:C12"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7">
    <i>
      <x v="1"/>
    </i>
    <i>
      <x v="2"/>
    </i>
    <i>
      <x v="3"/>
    </i>
    <i>
      <x v="4"/>
    </i>
    <i>
      <x v="5"/>
    </i>
    <i>
      <x v="6"/>
    </i>
    <i t="grand">
      <x/>
    </i>
  </rowItems>
  <colItems count="1">
    <i/>
  </colItems>
  <dataFields count="1">
    <dataField name="Sum of Sales" fld="3" baseField="0" baseItem="0"/>
  </dataFields>
  <formats count="12">
    <format dxfId="72">
      <pivotArea type="all" dataOnly="0" outline="0" fieldPosition="0"/>
    </format>
    <format dxfId="71">
      <pivotArea outline="0" collapsedLevelsAreSubtotals="1" fieldPosition="0"/>
    </format>
    <format dxfId="70">
      <pivotArea field="6" type="button" dataOnly="0" labelOnly="1" outline="0" axis="axisRow" fieldPosition="0"/>
    </format>
    <format dxfId="69">
      <pivotArea dataOnly="0" labelOnly="1" fieldPosition="0">
        <references count="1">
          <reference field="6" count="6">
            <x v="1"/>
            <x v="2"/>
            <x v="3"/>
            <x v="4"/>
            <x v="5"/>
            <x v="6"/>
          </reference>
        </references>
      </pivotArea>
    </format>
    <format dxfId="68">
      <pivotArea dataOnly="0" labelOnly="1" grandRow="1" outline="0" fieldPosition="0"/>
    </format>
    <format dxfId="67">
      <pivotArea dataOnly="0" labelOnly="1" outline="0" axis="axisValues" fieldPosition="0"/>
    </format>
    <format dxfId="66">
      <pivotArea type="all" dataOnly="0" outline="0" fieldPosition="0"/>
    </format>
    <format dxfId="65">
      <pivotArea outline="0" collapsedLevelsAreSubtotals="1" fieldPosition="0"/>
    </format>
    <format dxfId="64">
      <pivotArea field="6" type="button" dataOnly="0" labelOnly="1" outline="0" axis="axisRow" fieldPosition="0"/>
    </format>
    <format dxfId="63">
      <pivotArea dataOnly="0" labelOnly="1" fieldPosition="0">
        <references count="1">
          <reference field="6" count="6">
            <x v="1"/>
            <x v="2"/>
            <x v="3"/>
            <x v="4"/>
            <x v="5"/>
            <x v="6"/>
          </reference>
        </references>
      </pivotArea>
    </format>
    <format dxfId="62">
      <pivotArea dataOnly="0" labelOnly="1" grandRow="1" outline="0" fieldPosition="0"/>
    </format>
    <format dxfId="61">
      <pivotArea dataOnly="0" labelOnly="1" outline="0" axis="axisValues" fieldPosition="0"/>
    </format>
  </format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8F59E1-66E5-49BE-8E43-8BB4FA8B6EE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C8:D20"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axis="axisRow" showAll="0">
      <items count="4">
        <item x="2"/>
        <item x="0"/>
        <item x="1"/>
        <item t="default"/>
      </items>
    </pivotField>
    <pivotField dataField="1"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2">
    <field x="2"/>
    <field x="1"/>
  </rowFields>
  <rowItems count="12">
    <i>
      <x/>
    </i>
    <i r="1">
      <x v="2"/>
    </i>
    <i r="1">
      <x v="3"/>
    </i>
    <i>
      <x v="1"/>
    </i>
    <i r="1">
      <x/>
    </i>
    <i r="1">
      <x v="2"/>
    </i>
    <i r="1">
      <x v="3"/>
    </i>
    <i>
      <x v="2"/>
    </i>
    <i r="1">
      <x v="1"/>
    </i>
    <i r="1">
      <x v="2"/>
    </i>
    <i r="1">
      <x v="3"/>
    </i>
    <i t="grand">
      <x/>
    </i>
  </rowItems>
  <colItems count="1">
    <i/>
  </colItems>
  <dataFields count="1">
    <dataField name="Sum of Sales" fld="3" baseField="0" baseItem="0"/>
  </dataFields>
  <formats count="19">
    <format dxfId="60">
      <pivotArea type="all" dataOnly="0" outline="0" fieldPosition="0"/>
    </format>
    <format dxfId="59">
      <pivotArea outline="0" collapsedLevelsAreSubtotals="1" fieldPosition="0"/>
    </format>
    <format dxfId="58">
      <pivotArea dataOnly="0" labelOnly="1" grandRow="1" outline="0" fieldPosition="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dataOnly="0" labelOnly="1" grandRow="1" outline="0" fieldPosition="0"/>
    </format>
    <format dxfId="53">
      <pivotArea dataOnly="0" labelOnly="1" outline="0" axis="axisValues" fieldPosition="0"/>
    </format>
    <format dxfId="52">
      <pivotArea grandRow="1" outline="0" collapsedLevelsAreSubtotals="1" fieldPosition="0"/>
    </format>
    <format dxfId="51">
      <pivotArea dataOnly="0" labelOnly="1" grandRow="1" outline="0" fieldPosition="0"/>
    </format>
    <format dxfId="50">
      <pivotArea type="all" dataOnly="0" outline="0" fieldPosition="0"/>
    </format>
    <format dxfId="49">
      <pivotArea outline="0" collapsedLevelsAreSubtotals="1" fieldPosition="0"/>
    </format>
    <format dxfId="48">
      <pivotArea field="2" type="button" dataOnly="0" labelOnly="1" outline="0" axis="axisRow" fieldPosition="0"/>
    </format>
    <format dxfId="47">
      <pivotArea dataOnly="0" labelOnly="1" fieldPosition="0">
        <references count="1">
          <reference field="2" count="0"/>
        </references>
      </pivotArea>
    </format>
    <format dxfId="46">
      <pivotArea dataOnly="0" labelOnly="1" grandRow="1" outline="0" fieldPosition="0"/>
    </format>
    <format dxfId="45">
      <pivotArea dataOnly="0" labelOnly="1" fieldPosition="0">
        <references count="2">
          <reference field="1" count="2">
            <x v="2"/>
            <x v="3"/>
          </reference>
          <reference field="2" count="1" selected="0">
            <x v="0"/>
          </reference>
        </references>
      </pivotArea>
    </format>
    <format dxfId="44">
      <pivotArea dataOnly="0" labelOnly="1" fieldPosition="0">
        <references count="2">
          <reference field="1" count="3">
            <x v="0"/>
            <x v="2"/>
            <x v="3"/>
          </reference>
          <reference field="2" count="1" selected="0">
            <x v="1"/>
          </reference>
        </references>
      </pivotArea>
    </format>
    <format dxfId="43">
      <pivotArea dataOnly="0" labelOnly="1" fieldPosition="0">
        <references count="2">
          <reference field="1" count="3">
            <x v="1"/>
            <x v="2"/>
            <x v="3"/>
          </reference>
          <reference field="2" count="1" selected="0">
            <x v="2"/>
          </reference>
        </references>
      </pivotArea>
    </format>
    <format dxfId="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30F173-534B-4874-97EF-2956E6F7C87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Months">
  <location ref="A35:B42"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6"/>
  </rowFields>
  <rowItems count="7">
    <i>
      <x v="1"/>
    </i>
    <i>
      <x v="2"/>
    </i>
    <i>
      <x v="3"/>
    </i>
    <i>
      <x v="4"/>
    </i>
    <i>
      <x v="5"/>
    </i>
    <i>
      <x v="6"/>
    </i>
    <i t="grand">
      <x/>
    </i>
  </rowItems>
  <colItems count="1">
    <i/>
  </colItems>
  <dataFields count="1">
    <dataField name="Sum of Sales" fld="3" baseField="0" baseItem="0"/>
  </dataFields>
  <formats count="12">
    <format dxfId="23">
      <pivotArea type="all" dataOnly="0" outline="0" fieldPosition="0"/>
    </format>
    <format dxfId="22">
      <pivotArea outline="0" collapsedLevelsAreSubtotals="1" fieldPosition="0"/>
    </format>
    <format dxfId="21">
      <pivotArea field="6" type="button" dataOnly="0" labelOnly="1" outline="0" axis="axisRow" fieldPosition="0"/>
    </format>
    <format dxfId="20">
      <pivotArea dataOnly="0" labelOnly="1" fieldPosition="0">
        <references count="1">
          <reference field="6" count="6">
            <x v="1"/>
            <x v="2"/>
            <x v="3"/>
            <x v="4"/>
            <x v="5"/>
            <x v="6"/>
          </reference>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6" type="button" dataOnly="0" labelOnly="1" outline="0" axis="axisRow" fieldPosition="0"/>
    </format>
    <format dxfId="14">
      <pivotArea dataOnly="0" labelOnly="1" fieldPosition="0">
        <references count="1">
          <reference field="6" count="6">
            <x v="1"/>
            <x v="2"/>
            <x v="3"/>
            <x v="4"/>
            <x v="5"/>
            <x v="6"/>
          </reference>
        </references>
      </pivotArea>
    </format>
    <format dxfId="13">
      <pivotArea dataOnly="0" labelOnly="1" grandRow="1" outline="0" fieldPosition="0"/>
    </format>
    <format dxfId="12">
      <pivotArea dataOnly="0" labelOnly="1" outline="0" axis="axisValues" fieldPosition="0"/>
    </format>
  </formats>
  <chartFormats count="2">
    <chartFormat chart="10" format="4"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E88A69-1322-40BB-BC80-088BDFBAE30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Region">
  <location ref="A15:B20"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Items count="1">
    <i/>
  </colItems>
  <dataFields count="1">
    <dataField name="Sum of Sales" fld="3" baseField="0" baseItem="0"/>
  </dataFields>
  <formats count="12">
    <format dxfId="35">
      <pivotArea type="all" dataOnly="0" outline="0" fieldPosition="0"/>
    </format>
    <format dxfId="34">
      <pivotArea outline="0" collapsedLevelsAreSubtotals="1" fieldPosition="0"/>
    </format>
    <format dxfId="33">
      <pivotArea field="1" type="button" dataOnly="0" labelOnly="1" outline="0" axis="axisRow" fieldPosition="0"/>
    </format>
    <format dxfId="32">
      <pivotArea dataOnly="0" labelOnly="1" fieldPosition="0">
        <references count="1">
          <reference field="1" count="0"/>
        </references>
      </pivotArea>
    </format>
    <format dxfId="31">
      <pivotArea dataOnly="0" labelOnly="1" grandRow="1" outline="0"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field="1" type="button" dataOnly="0" labelOnly="1" outline="0" axis="axisRow" fieldPosition="0"/>
    </format>
    <format dxfId="26">
      <pivotArea dataOnly="0" labelOnly="1" fieldPosition="0">
        <references count="1">
          <reference field="1" count="0"/>
        </references>
      </pivotArea>
    </format>
    <format dxfId="25">
      <pivotArea dataOnly="0" labelOnly="1" grandRow="1" outline="0" fieldPosition="0"/>
    </format>
    <format dxfId="24">
      <pivotArea dataOnly="0" labelOnly="1" outline="0" axis="axisValues" fieldPosition="0"/>
    </format>
  </formats>
  <chartFormats count="2">
    <chartFormat chart="25" format="4"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E7726B-1E26-4725-B632-D0031CDC394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5" firstHeaderRow="0" firstDataRow="1" firstDataCol="0"/>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h="1" x="0"/>
        <item h="1" x="1"/>
        <item t="default"/>
      </items>
    </pivotField>
    <pivotField dataField="1" showAll="0"/>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3">
    <i>
      <x/>
    </i>
    <i i="1">
      <x v="1"/>
    </i>
    <i i="2">
      <x v="2"/>
    </i>
  </colItems>
  <dataFields count="3">
    <dataField name="Sum of Sales" fld="3" baseField="0" baseItem="0"/>
    <dataField name="Sum of Quantity" fld="4" baseField="0" baseItem="0"/>
    <dataField name="Average of Sales" fld="3" subtotal="average" baseField="0" baseItem="2" numFmtId="1"/>
  </dataFields>
  <formats count="6">
    <format dxfId="41">
      <pivotArea type="all" dataOnly="0" outline="0" fieldPosition="0"/>
    </format>
    <format dxfId="40">
      <pivotArea outline="0" collapsedLevelsAreSubtotals="1" fieldPosition="0"/>
    </format>
    <format dxfId="39">
      <pivotArea dataOnly="0" labelOnly="1" outline="0" fieldPosition="0">
        <references count="1">
          <reference field="4294967294" count="3">
            <x v="0"/>
            <x v="1"/>
            <x v="2"/>
          </reference>
        </references>
      </pivotArea>
    </format>
    <format dxfId="38">
      <pivotArea type="all" dataOnly="0" outline="0" fieldPosition="0"/>
    </format>
    <format dxfId="37">
      <pivotArea outline="0" collapsedLevelsAreSubtotals="1" fieldPosition="0"/>
    </format>
    <format dxfId="36">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0603E6-9B53-4D83-B633-C73883C178F7}"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Months">
  <location ref="F5:G11"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6"/>
  </rowFields>
  <rowItems count="6">
    <i>
      <x v="1"/>
    </i>
    <i>
      <x v="2"/>
    </i>
    <i>
      <x v="3"/>
    </i>
    <i>
      <x v="4"/>
    </i>
    <i>
      <x v="5"/>
    </i>
    <i>
      <x v="6"/>
    </i>
  </rowItems>
  <colItems count="1">
    <i/>
  </colItems>
  <dataFields count="1">
    <dataField name="Average of Sales" fld="3" subtotal="average" baseField="6" baseItem="1" numFmtId="1"/>
  </dataFields>
  <formats count="10">
    <format dxfId="11">
      <pivotArea type="all" dataOnly="0" outline="0" fieldPosition="0"/>
    </format>
    <format dxfId="10">
      <pivotArea outline="0" collapsedLevelsAreSubtotals="1" fieldPosition="0"/>
    </format>
    <format dxfId="9">
      <pivotArea field="6" type="button" dataOnly="0" labelOnly="1" outline="0" axis="axisRow" fieldPosition="0"/>
    </format>
    <format dxfId="8">
      <pivotArea dataOnly="0" labelOnly="1" fieldPosition="0">
        <references count="1">
          <reference field="6" count="6">
            <x v="1"/>
            <x v="2"/>
            <x v="3"/>
            <x v="4"/>
            <x v="5"/>
            <x v="6"/>
          </reference>
        </references>
      </pivotArea>
    </format>
    <format dxfId="7">
      <pivotArea dataOnly="0" labelOnly="1" outline="0" axis="axisValues" fieldPosition="0"/>
    </format>
    <format dxfId="6">
      <pivotArea type="all" dataOnly="0" outline="0" fieldPosition="0"/>
    </format>
    <format dxfId="5">
      <pivotArea field="6" type="button" dataOnly="0" labelOnly="1" outline="0" axis="axisRow" fieldPosition="0"/>
    </format>
    <format dxfId="4">
      <pivotArea dataOnly="0" labelOnly="1" outline="0" axis="axisValues" fieldPosition="0"/>
    </format>
    <format dxfId="3">
      <pivotArea outline="0" collapsedLevelsAreSubtotals="1" fieldPosition="0"/>
    </format>
    <format dxfId="2">
      <pivotArea dataOnly="0" labelOnly="1" fieldPosition="0">
        <references count="1">
          <reference field="6" count="6">
            <x v="1"/>
            <x v="2"/>
            <x v="3"/>
            <x v="4"/>
            <x v="5"/>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70E68C-4DA3-4EF8-A4AE-4A9AD29379A0}"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F4:G7" firstHeaderRow="1" firstDataRow="1" firstDataCol="1"/>
  <pivotFields count="6">
    <pivotField numFmtId="22" showAll="0"/>
    <pivotField showAll="0"/>
    <pivotField axis="axisRow" showAll="0">
      <items count="4">
        <item x="2"/>
        <item x="0"/>
        <item x="1"/>
        <item t="default"/>
      </items>
    </pivotField>
    <pivotField dataField="1" showAll="0"/>
    <pivotField showAll="0"/>
    <pivotField axis="axisRow" showAll="0">
      <items count="3">
        <item n="Fruits" sd="0" x="1"/>
        <item sd="0" x="0"/>
        <item t="default"/>
      </items>
    </pivotField>
  </pivotFields>
  <rowFields count="2">
    <field x="5"/>
    <field x="2"/>
  </rowFields>
  <rowItems count="3">
    <i>
      <x/>
    </i>
    <i>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03EA832-DA2F-40D5-BF52-922B2A6EFCAA}" sourceName="Product">
  <pivotTables>
    <pivotTable tabId="7" name="PivotTable3"/>
  </pivotTables>
  <data>
    <tabular pivotCacheId="49921089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64C75216-461E-48BE-B32E-DA990C76DBBC}" sourceName="Product">
  <pivotTables>
    <pivotTable tabId="16" name="PivotTable4"/>
    <pivotTable tabId="16" name="PivotTable5"/>
  </pivotTables>
  <data>
    <tabular pivotCacheId="49921089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AD7BF407-F711-422F-A375-C1D0314DA7EF}" cache="Slicer_Product" caption="Product" style="SlicerStyleLight4"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9EC3B604-166C-44B5-AEC9-844958A6930D}" cache="Slicer_Product1" caption="Product"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D8AF4-F771-466B-8659-EEFFC1737693}">
  <sheetPr>
    <tabColor rgb="FFC00000"/>
  </sheetPr>
  <dimension ref="A1:E21"/>
  <sheetViews>
    <sheetView workbookViewId="0">
      <selection activeCell="M23" sqref="M23"/>
    </sheetView>
  </sheetViews>
  <sheetFormatPr defaultRowHeight="14.4" x14ac:dyDescent="0.3"/>
  <cols>
    <col min="1" max="1" width="14.6640625" bestFit="1" customWidth="1"/>
    <col min="2" max="2" width="6.77734375" bestFit="1" customWidth="1"/>
    <col min="3" max="3" width="8.44140625" bestFit="1" customWidth="1"/>
    <col min="4" max="4" width="5.21875" bestFit="1" customWidth="1"/>
    <col min="5" max="5" width="8.33203125" bestFit="1" customWidth="1"/>
  </cols>
  <sheetData>
    <row r="1" spans="1:5" x14ac:dyDescent="0.3">
      <c r="A1" s="40" t="s">
        <v>0</v>
      </c>
      <c r="B1" s="40" t="s">
        <v>1</v>
      </c>
      <c r="C1" s="40" t="s">
        <v>2</v>
      </c>
      <c r="D1" s="40" t="s">
        <v>3</v>
      </c>
      <c r="E1" s="40" t="s">
        <v>4</v>
      </c>
    </row>
    <row r="2" spans="1:5" x14ac:dyDescent="0.3">
      <c r="A2" s="46">
        <v>45292</v>
      </c>
      <c r="B2" s="4" t="s">
        <v>5</v>
      </c>
      <c r="C2" s="4" t="s">
        <v>6</v>
      </c>
      <c r="D2" s="4">
        <v>456</v>
      </c>
      <c r="E2" s="4">
        <v>93</v>
      </c>
    </row>
    <row r="3" spans="1:5" x14ac:dyDescent="0.3">
      <c r="A3" s="46">
        <v>45301.526319444441</v>
      </c>
      <c r="B3" s="4" t="s">
        <v>7</v>
      </c>
      <c r="C3" s="4" t="s">
        <v>8</v>
      </c>
      <c r="D3" s="4">
        <v>348</v>
      </c>
      <c r="E3" s="4">
        <v>56</v>
      </c>
    </row>
    <row r="4" spans="1:5" x14ac:dyDescent="0.3">
      <c r="A4" s="46">
        <v>45311.052627314813</v>
      </c>
      <c r="B4" s="4" t="s">
        <v>7</v>
      </c>
      <c r="C4" s="4" t="s">
        <v>6</v>
      </c>
      <c r="D4" s="4">
        <v>247</v>
      </c>
      <c r="E4" s="4">
        <v>76</v>
      </c>
    </row>
    <row r="5" spans="1:5" x14ac:dyDescent="0.3">
      <c r="A5" s="46">
        <v>45320.578946759262</v>
      </c>
      <c r="B5" s="4" t="s">
        <v>5</v>
      </c>
      <c r="C5" s="4" t="s">
        <v>9</v>
      </c>
      <c r="D5" s="4">
        <v>230</v>
      </c>
      <c r="E5" s="4">
        <v>37</v>
      </c>
    </row>
    <row r="6" spans="1:5" x14ac:dyDescent="0.3">
      <c r="A6" s="46">
        <v>45330.105266203704</v>
      </c>
      <c r="B6" s="4" t="s">
        <v>5</v>
      </c>
      <c r="C6" s="4" t="s">
        <v>6</v>
      </c>
      <c r="D6" s="4">
        <v>281</v>
      </c>
      <c r="E6" s="4">
        <v>50</v>
      </c>
    </row>
    <row r="7" spans="1:5" x14ac:dyDescent="0.3">
      <c r="A7" s="46">
        <v>45339.631574074076</v>
      </c>
      <c r="B7" s="4" t="s">
        <v>5</v>
      </c>
      <c r="C7" s="4" t="s">
        <v>8</v>
      </c>
      <c r="D7" s="4">
        <v>334</v>
      </c>
      <c r="E7" s="4">
        <v>52</v>
      </c>
    </row>
    <row r="8" spans="1:5" x14ac:dyDescent="0.3">
      <c r="A8" s="46">
        <v>45349.157893518517</v>
      </c>
      <c r="B8" s="4" t="s">
        <v>7</v>
      </c>
      <c r="C8" s="4" t="s">
        <v>9</v>
      </c>
      <c r="D8" s="4">
        <v>417</v>
      </c>
      <c r="E8" s="4">
        <v>29</v>
      </c>
    </row>
    <row r="9" spans="1:5" x14ac:dyDescent="0.3">
      <c r="A9" s="46">
        <v>45358.684212962966</v>
      </c>
      <c r="B9" s="4" t="s">
        <v>5</v>
      </c>
      <c r="C9" s="4" t="s">
        <v>9</v>
      </c>
      <c r="D9" s="4">
        <v>441</v>
      </c>
      <c r="E9" s="4">
        <v>44</v>
      </c>
    </row>
    <row r="10" spans="1:5" x14ac:dyDescent="0.3">
      <c r="A10" s="46">
        <v>45368.210520833331</v>
      </c>
      <c r="B10" s="4" t="s">
        <v>7</v>
      </c>
      <c r="C10" s="4" t="s">
        <v>6</v>
      </c>
      <c r="D10" s="4">
        <v>76</v>
      </c>
      <c r="E10" s="4">
        <v>63</v>
      </c>
    </row>
    <row r="11" spans="1:5" x14ac:dyDescent="0.3">
      <c r="A11" s="46">
        <v>45377.736840277779</v>
      </c>
      <c r="B11" s="4" t="s">
        <v>5</v>
      </c>
      <c r="C11" s="4" t="s">
        <v>8</v>
      </c>
      <c r="D11" s="4">
        <v>441</v>
      </c>
      <c r="E11" s="4">
        <v>79</v>
      </c>
    </row>
    <row r="12" spans="1:5" x14ac:dyDescent="0.3">
      <c r="A12" s="46">
        <v>45387.263159722221</v>
      </c>
      <c r="B12" s="4" t="s">
        <v>7</v>
      </c>
      <c r="C12" s="4" t="s">
        <v>6</v>
      </c>
      <c r="D12" s="4">
        <v>205</v>
      </c>
      <c r="E12" s="4">
        <v>23</v>
      </c>
    </row>
    <row r="13" spans="1:5" x14ac:dyDescent="0.3">
      <c r="A13" s="46">
        <v>45396.789479166669</v>
      </c>
      <c r="B13" s="4" t="s">
        <v>5</v>
      </c>
      <c r="C13" s="4" t="s">
        <v>8</v>
      </c>
      <c r="D13" s="4">
        <v>483</v>
      </c>
      <c r="E13" s="4">
        <v>97</v>
      </c>
    </row>
    <row r="14" spans="1:5" x14ac:dyDescent="0.3">
      <c r="A14" s="46">
        <v>45406.315787037034</v>
      </c>
      <c r="B14" s="4" t="s">
        <v>10</v>
      </c>
      <c r="C14" s="4" t="s">
        <v>6</v>
      </c>
      <c r="D14" s="4">
        <v>467</v>
      </c>
      <c r="E14" s="4">
        <v>97</v>
      </c>
    </row>
    <row r="15" spans="1:5" x14ac:dyDescent="0.3">
      <c r="A15" s="46">
        <v>45415.842106481483</v>
      </c>
      <c r="B15" s="4" t="s">
        <v>5</v>
      </c>
      <c r="C15" s="4" t="s">
        <v>6</v>
      </c>
      <c r="D15" s="4">
        <v>380</v>
      </c>
      <c r="E15" s="4">
        <v>92</v>
      </c>
    </row>
    <row r="16" spans="1:5" x14ac:dyDescent="0.3">
      <c r="A16" s="46">
        <v>45425.368425925924</v>
      </c>
      <c r="B16" s="4" t="s">
        <v>7</v>
      </c>
      <c r="C16" s="4" t="s">
        <v>8</v>
      </c>
      <c r="D16" s="4">
        <v>497</v>
      </c>
      <c r="E16" s="4">
        <v>71</v>
      </c>
    </row>
    <row r="17" spans="1:5" x14ac:dyDescent="0.3">
      <c r="A17" s="46">
        <v>45434.894733796296</v>
      </c>
      <c r="B17" s="4" t="s">
        <v>7</v>
      </c>
      <c r="C17" s="4" t="s">
        <v>6</v>
      </c>
      <c r="D17" s="4">
        <v>409</v>
      </c>
      <c r="E17" s="4">
        <v>81</v>
      </c>
    </row>
    <row r="18" spans="1:5" x14ac:dyDescent="0.3">
      <c r="A18" s="46">
        <v>45444.421053240738</v>
      </c>
      <c r="B18" s="4" t="s">
        <v>5</v>
      </c>
      <c r="C18" s="4" t="s">
        <v>8</v>
      </c>
      <c r="D18" s="4">
        <v>53</v>
      </c>
      <c r="E18" s="4">
        <v>45</v>
      </c>
    </row>
    <row r="19" spans="1:5" x14ac:dyDescent="0.3">
      <c r="A19" s="46">
        <v>45453.947372685187</v>
      </c>
      <c r="B19" s="4" t="s">
        <v>5</v>
      </c>
      <c r="C19" s="4" t="s">
        <v>9</v>
      </c>
      <c r="D19" s="4">
        <v>398</v>
      </c>
      <c r="E19" s="4">
        <v>33</v>
      </c>
    </row>
    <row r="20" spans="1:5" x14ac:dyDescent="0.3">
      <c r="A20" s="46">
        <v>45463.473680555559</v>
      </c>
      <c r="B20" s="4" t="s">
        <v>11</v>
      </c>
      <c r="C20" s="4" t="s">
        <v>8</v>
      </c>
      <c r="D20" s="4">
        <v>347</v>
      </c>
      <c r="E20" s="4">
        <v>35</v>
      </c>
    </row>
    <row r="21" spans="1:5" x14ac:dyDescent="0.3">
      <c r="A21" s="46">
        <v>45473</v>
      </c>
      <c r="B21" s="4" t="s">
        <v>7</v>
      </c>
      <c r="C21" s="4" t="s">
        <v>9</v>
      </c>
      <c r="D21" s="4">
        <v>319</v>
      </c>
      <c r="E21" s="4">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61BAF-EAB7-4067-801B-AE3138E0C7CF}">
  <sheetPr>
    <tabColor rgb="FFFF0000"/>
  </sheetPr>
  <dimension ref="A1"/>
  <sheetViews>
    <sheetView topLeftCell="A2" workbookViewId="0">
      <selection activeCell="A17" sqref="A17"/>
    </sheetView>
  </sheetViews>
  <sheetFormatPr defaultRowHeight="14.4" x14ac:dyDescent="0.3"/>
  <cols>
    <col min="1" max="16384" width="8.88671875" style="6"/>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A787C-D83A-443A-B36A-544FF8815A55}">
  <sheetPr>
    <tabColor rgb="FFFFC000"/>
  </sheetPr>
  <dimension ref="C2:J10"/>
  <sheetViews>
    <sheetView workbookViewId="0">
      <selection activeCell="D5" sqref="D5:E10"/>
    </sheetView>
  </sheetViews>
  <sheetFormatPr defaultRowHeight="14.4" x14ac:dyDescent="0.3"/>
  <cols>
    <col min="1" max="1" width="12.44140625" bestFit="1" customWidth="1"/>
    <col min="2" max="2" width="20.88671875" bestFit="1" customWidth="1"/>
    <col min="3" max="3" width="21.21875" bestFit="1" customWidth="1"/>
    <col min="4" max="4" width="13.109375" bestFit="1" customWidth="1"/>
    <col min="5" max="5" width="14.6640625" bestFit="1" customWidth="1"/>
  </cols>
  <sheetData>
    <row r="2" spans="3:10" ht="15" thickBot="1" x14ac:dyDescent="0.35"/>
    <row r="3" spans="3:10" ht="21.6" thickBot="1" x14ac:dyDescent="0.45">
      <c r="C3" s="78" t="s">
        <v>28</v>
      </c>
      <c r="D3" s="79"/>
      <c r="E3" s="79"/>
      <c r="F3" s="79"/>
      <c r="G3" s="79"/>
      <c r="H3" s="79"/>
      <c r="I3" s="79"/>
      <c r="J3" s="80"/>
    </row>
    <row r="4" spans="3:10" ht="15" thickBot="1" x14ac:dyDescent="0.35"/>
    <row r="5" spans="3:10" ht="18.600000000000001" thickBot="1" x14ac:dyDescent="0.4">
      <c r="D5" s="47" t="s">
        <v>1</v>
      </c>
      <c r="E5" s="48" t="s">
        <v>13</v>
      </c>
    </row>
    <row r="6" spans="3:10" ht="18" x14ac:dyDescent="0.35">
      <c r="D6" s="49" t="s">
        <v>10</v>
      </c>
      <c r="E6" s="50">
        <v>467</v>
      </c>
    </row>
    <row r="7" spans="3:10" ht="18" x14ac:dyDescent="0.35">
      <c r="D7" s="51" t="s">
        <v>11</v>
      </c>
      <c r="E7" s="52">
        <v>347</v>
      </c>
    </row>
    <row r="8" spans="3:10" ht="18" x14ac:dyDescent="0.35">
      <c r="D8" s="51" t="s">
        <v>7</v>
      </c>
      <c r="E8" s="52">
        <v>2518</v>
      </c>
    </row>
    <row r="9" spans="3:10" ht="18.600000000000001" thickBot="1" x14ac:dyDescent="0.4">
      <c r="D9" s="53" t="s">
        <v>5</v>
      </c>
      <c r="E9" s="52">
        <v>3497</v>
      </c>
    </row>
    <row r="10" spans="3:10" ht="18.600000000000001" thickBot="1" x14ac:dyDescent="0.4">
      <c r="D10" s="48" t="s">
        <v>12</v>
      </c>
      <c r="E10" s="54">
        <v>6829</v>
      </c>
    </row>
  </sheetData>
  <mergeCells count="1">
    <mergeCell ref="C3:J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92CCF-9250-4A13-967D-99200563FBCA}">
  <sheetPr>
    <tabColor rgb="FFFFFF00"/>
  </sheetPr>
  <dimension ref="B2:L24"/>
  <sheetViews>
    <sheetView workbookViewId="0">
      <selection activeCell="J11" sqref="J11"/>
    </sheetView>
  </sheetViews>
  <sheetFormatPr defaultRowHeight="14.4" x14ac:dyDescent="0.3"/>
  <cols>
    <col min="1" max="1" width="10.5546875" customWidth="1"/>
    <col min="2" max="3" width="19.109375" bestFit="1" customWidth="1"/>
    <col min="4" max="4" width="8.33203125" bestFit="1" customWidth="1"/>
    <col min="5" max="5" width="10.5546875" bestFit="1" customWidth="1"/>
    <col min="6" max="6" width="6.44140625" bestFit="1" customWidth="1"/>
    <col min="7" max="7" width="10.33203125" bestFit="1" customWidth="1"/>
  </cols>
  <sheetData>
    <row r="2" spans="2:11" ht="15" thickBot="1" x14ac:dyDescent="0.35"/>
    <row r="3" spans="2:11" ht="21.6" thickBot="1" x14ac:dyDescent="0.45">
      <c r="B3" s="41" t="s">
        <v>29</v>
      </c>
      <c r="C3" s="18"/>
      <c r="D3" s="18"/>
      <c r="E3" s="18"/>
      <c r="F3" s="18"/>
      <c r="G3" s="18"/>
      <c r="H3" s="18"/>
      <c r="I3" s="18"/>
      <c r="J3" s="18"/>
      <c r="K3" s="19"/>
    </row>
    <row r="4" spans="2:11" ht="13.8" customHeight="1" thickBot="1" x14ac:dyDescent="0.35"/>
    <row r="5" spans="2:11" ht="18.600000000000001" thickBot="1" x14ac:dyDescent="0.35">
      <c r="C5" s="28" t="s">
        <v>0</v>
      </c>
      <c r="D5" s="29" t="s">
        <v>1</v>
      </c>
      <c r="E5" s="29" t="s">
        <v>2</v>
      </c>
      <c r="F5" s="29" t="s">
        <v>3</v>
      </c>
      <c r="G5" s="30" t="s">
        <v>4</v>
      </c>
    </row>
    <row r="6" spans="2:11" ht="18" x14ac:dyDescent="0.35">
      <c r="C6" s="31">
        <v>45292</v>
      </c>
      <c r="D6" s="32" t="s">
        <v>5</v>
      </c>
      <c r="E6" s="32" t="s">
        <v>6</v>
      </c>
      <c r="F6" s="44">
        <v>456</v>
      </c>
      <c r="G6" s="33">
        <v>93</v>
      </c>
    </row>
    <row r="7" spans="2:11" ht="18" x14ac:dyDescent="0.35">
      <c r="C7" s="34">
        <v>45301.526319444441</v>
      </c>
      <c r="D7" s="5" t="s">
        <v>7</v>
      </c>
      <c r="E7" s="5" t="s">
        <v>8</v>
      </c>
      <c r="F7" s="5">
        <v>348</v>
      </c>
      <c r="G7" s="35">
        <v>56</v>
      </c>
    </row>
    <row r="8" spans="2:11" ht="18" x14ac:dyDescent="0.35">
      <c r="C8" s="34">
        <v>45311.052627314813</v>
      </c>
      <c r="D8" s="5" t="s">
        <v>7</v>
      </c>
      <c r="E8" s="5" t="s">
        <v>6</v>
      </c>
      <c r="F8" s="5">
        <v>247</v>
      </c>
      <c r="G8" s="35">
        <v>76</v>
      </c>
    </row>
    <row r="9" spans="2:11" ht="18" x14ac:dyDescent="0.35">
      <c r="C9" s="34">
        <v>45330.105266203704</v>
      </c>
      <c r="D9" s="5" t="s">
        <v>5</v>
      </c>
      <c r="E9" s="5" t="s">
        <v>6</v>
      </c>
      <c r="F9" s="5">
        <v>281</v>
      </c>
      <c r="G9" s="35">
        <v>50</v>
      </c>
    </row>
    <row r="10" spans="2:11" ht="18" x14ac:dyDescent="0.35">
      <c r="C10" s="34">
        <v>45339.631574074076</v>
      </c>
      <c r="D10" s="5" t="s">
        <v>5</v>
      </c>
      <c r="E10" s="5" t="s">
        <v>8</v>
      </c>
      <c r="F10" s="5">
        <v>334</v>
      </c>
      <c r="G10" s="35">
        <v>52</v>
      </c>
    </row>
    <row r="11" spans="2:11" ht="18" x14ac:dyDescent="0.35">
      <c r="C11" s="34">
        <v>45349.157893518517</v>
      </c>
      <c r="D11" s="5" t="s">
        <v>7</v>
      </c>
      <c r="E11" s="5" t="s">
        <v>9</v>
      </c>
      <c r="F11" s="39">
        <v>417</v>
      </c>
      <c r="G11" s="35">
        <v>29</v>
      </c>
    </row>
    <row r="12" spans="2:11" ht="18" x14ac:dyDescent="0.35">
      <c r="C12" s="34">
        <v>45358.684212962966</v>
      </c>
      <c r="D12" s="5" t="s">
        <v>5</v>
      </c>
      <c r="E12" s="5" t="s">
        <v>9</v>
      </c>
      <c r="F12" s="43">
        <v>441</v>
      </c>
      <c r="G12" s="35">
        <v>44</v>
      </c>
    </row>
    <row r="13" spans="2:11" ht="18" x14ac:dyDescent="0.35">
      <c r="C13" s="34">
        <v>45368.210520833331</v>
      </c>
      <c r="D13" s="5" t="s">
        <v>7</v>
      </c>
      <c r="E13" s="5" t="s">
        <v>6</v>
      </c>
      <c r="F13" s="5">
        <v>76</v>
      </c>
      <c r="G13" s="35">
        <v>63</v>
      </c>
    </row>
    <row r="14" spans="2:11" ht="18" x14ac:dyDescent="0.35">
      <c r="C14" s="34">
        <v>45377.736840277779</v>
      </c>
      <c r="D14" s="5" t="s">
        <v>5</v>
      </c>
      <c r="E14" s="5" t="s">
        <v>8</v>
      </c>
      <c r="F14" s="39">
        <v>441</v>
      </c>
      <c r="G14" s="35">
        <v>79</v>
      </c>
    </row>
    <row r="15" spans="2:11" ht="18" x14ac:dyDescent="0.35">
      <c r="C15" s="34">
        <v>45387.263159722221</v>
      </c>
      <c r="D15" s="5" t="s">
        <v>7</v>
      </c>
      <c r="E15" s="5" t="s">
        <v>6</v>
      </c>
      <c r="F15" s="5">
        <v>205</v>
      </c>
      <c r="G15" s="35">
        <v>23</v>
      </c>
    </row>
    <row r="16" spans="2:11" ht="18" x14ac:dyDescent="0.35">
      <c r="C16" s="34">
        <v>45396.789479166669</v>
      </c>
      <c r="D16" s="5" t="s">
        <v>5</v>
      </c>
      <c r="E16" s="5" t="s">
        <v>8</v>
      </c>
      <c r="F16" s="39">
        <v>483</v>
      </c>
      <c r="G16" s="35">
        <v>97</v>
      </c>
    </row>
    <row r="17" spans="3:12" ht="18" x14ac:dyDescent="0.35">
      <c r="C17" s="34">
        <v>45406.315787037034</v>
      </c>
      <c r="D17" s="5" t="s">
        <v>10</v>
      </c>
      <c r="E17" s="5" t="s">
        <v>6</v>
      </c>
      <c r="F17" s="39">
        <v>467</v>
      </c>
      <c r="G17" s="35">
        <v>97</v>
      </c>
    </row>
    <row r="18" spans="3:12" ht="18" x14ac:dyDescent="0.35">
      <c r="C18" s="34">
        <v>45415.842106481483</v>
      </c>
      <c r="D18" s="5" t="s">
        <v>5</v>
      </c>
      <c r="E18" s="5" t="s">
        <v>6</v>
      </c>
      <c r="F18" s="5">
        <v>380</v>
      </c>
      <c r="G18" s="35">
        <v>92</v>
      </c>
      <c r="L18" t="s">
        <v>23</v>
      </c>
    </row>
    <row r="19" spans="3:12" ht="18" x14ac:dyDescent="0.35">
      <c r="C19" s="34">
        <v>45425.368425925924</v>
      </c>
      <c r="D19" s="5" t="s">
        <v>7</v>
      </c>
      <c r="E19" s="5" t="s">
        <v>8</v>
      </c>
      <c r="F19" s="39">
        <v>497</v>
      </c>
      <c r="G19" s="35">
        <v>71</v>
      </c>
    </row>
    <row r="20" spans="3:12" ht="18" x14ac:dyDescent="0.35">
      <c r="C20" s="34">
        <v>45434.894733796296</v>
      </c>
      <c r="D20" s="5" t="s">
        <v>7</v>
      </c>
      <c r="E20" s="5" t="s">
        <v>6</v>
      </c>
      <c r="F20" s="39">
        <v>409</v>
      </c>
      <c r="G20" s="35">
        <v>81</v>
      </c>
    </row>
    <row r="21" spans="3:12" ht="18" x14ac:dyDescent="0.35">
      <c r="C21" s="34">
        <v>45444.421053240738</v>
      </c>
      <c r="D21" s="5" t="s">
        <v>5</v>
      </c>
      <c r="E21" s="5" t="s">
        <v>8</v>
      </c>
      <c r="F21" s="5">
        <v>53</v>
      </c>
      <c r="G21" s="35">
        <v>45</v>
      </c>
    </row>
    <row r="22" spans="3:12" ht="18" x14ac:dyDescent="0.35">
      <c r="C22" s="34">
        <v>45453.947372685187</v>
      </c>
      <c r="D22" s="5" t="s">
        <v>5</v>
      </c>
      <c r="E22" s="5" t="s">
        <v>9</v>
      </c>
      <c r="F22" s="5">
        <v>398</v>
      </c>
      <c r="G22" s="35">
        <v>33</v>
      </c>
    </row>
    <row r="23" spans="3:12" ht="18" x14ac:dyDescent="0.35">
      <c r="C23" s="34">
        <v>45463.473680555559</v>
      </c>
      <c r="D23" s="5" t="s">
        <v>11</v>
      </c>
      <c r="E23" s="5" t="s">
        <v>8</v>
      </c>
      <c r="F23" s="5">
        <v>347</v>
      </c>
      <c r="G23" s="35">
        <v>35</v>
      </c>
    </row>
    <row r="24" spans="3:12" ht="18.600000000000001" thickBot="1" x14ac:dyDescent="0.4">
      <c r="C24" s="36">
        <v>45473</v>
      </c>
      <c r="D24" s="37" t="s">
        <v>7</v>
      </c>
      <c r="E24" s="37" t="s">
        <v>9</v>
      </c>
      <c r="F24" s="37">
        <v>319</v>
      </c>
      <c r="G24" s="38">
        <v>45</v>
      </c>
    </row>
  </sheetData>
  <conditionalFormatting sqref="C6:G24">
    <cfRule type="expression" dxfId="1" priority="2">
      <formula>$F6&gt;400</formula>
    </cfRule>
  </conditionalFormatting>
  <conditionalFormatting sqref="F6:F24">
    <cfRule type="cellIs" dxfId="0" priority="1" operator="greaterThan">
      <formula>400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7EC97-56E5-457E-8CF1-2F1F6FA8F261}">
  <sheetPr>
    <tabColor rgb="FF92D050"/>
  </sheetPr>
  <dimension ref="A1"/>
  <sheetViews>
    <sheetView workbookViewId="0">
      <selection activeCell="A14" sqref="A14"/>
    </sheetView>
  </sheetViews>
  <sheetFormatPr defaultRowHeight="14.4" x14ac:dyDescent="0.3"/>
  <cols>
    <col min="1" max="16384" width="8.88671875" style="6"/>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61297-E4D8-4252-A4FD-9EBB7B7E3CEC}">
  <sheetPr>
    <tabColor rgb="FF00B050"/>
  </sheetPr>
  <dimension ref="B1:K20"/>
  <sheetViews>
    <sheetView workbookViewId="0">
      <selection activeCell="B5" sqref="B5:C12"/>
    </sheetView>
  </sheetViews>
  <sheetFormatPr defaultRowHeight="14.4" x14ac:dyDescent="0.3"/>
  <cols>
    <col min="1" max="1" width="12.5546875" customWidth="1"/>
    <col min="2" max="2" width="10.5546875" bestFit="1" customWidth="1"/>
    <col min="3" max="3" width="11.5546875" bestFit="1" customWidth="1"/>
  </cols>
  <sheetData>
    <row r="1" spans="2:11" ht="15" thickBot="1" x14ac:dyDescent="0.35"/>
    <row r="2" spans="2:11" ht="21.6" thickBot="1" x14ac:dyDescent="0.45">
      <c r="B2" s="78" t="s">
        <v>27</v>
      </c>
      <c r="C2" s="81"/>
      <c r="D2" s="81"/>
      <c r="E2" s="81"/>
      <c r="F2" s="81"/>
      <c r="G2" s="81"/>
      <c r="H2" s="81"/>
      <c r="I2" s="81"/>
      <c r="J2" s="81"/>
      <c r="K2" s="82"/>
    </row>
    <row r="3" spans="2:11" ht="15" thickBot="1" x14ac:dyDescent="0.35"/>
    <row r="4" spans="2:11" ht="15" thickBot="1" x14ac:dyDescent="0.35">
      <c r="B4" s="7"/>
      <c r="C4" s="8"/>
      <c r="D4" s="8"/>
      <c r="E4" s="8"/>
      <c r="F4" s="8"/>
      <c r="G4" s="8"/>
      <c r="H4" s="8"/>
      <c r="I4" s="8"/>
      <c r="J4" s="8"/>
      <c r="K4" s="9"/>
    </row>
    <row r="5" spans="2:11" ht="15" thickBot="1" x14ac:dyDescent="0.35">
      <c r="B5" s="20" t="s">
        <v>25</v>
      </c>
      <c r="C5" s="21" t="s">
        <v>13</v>
      </c>
      <c r="D5" s="10"/>
      <c r="E5" s="10"/>
      <c r="F5" s="10"/>
      <c r="G5" s="10"/>
      <c r="H5" s="10"/>
      <c r="I5" s="10"/>
      <c r="J5" s="10"/>
      <c r="K5" s="11"/>
    </row>
    <row r="6" spans="2:11" x14ac:dyDescent="0.3">
      <c r="B6" s="25" t="s">
        <v>14</v>
      </c>
      <c r="C6" s="55">
        <v>1281</v>
      </c>
      <c r="D6" s="10"/>
      <c r="E6" s="10"/>
      <c r="F6" s="10"/>
      <c r="G6" s="10"/>
      <c r="H6" s="10"/>
      <c r="I6" s="10"/>
      <c r="J6" s="10"/>
      <c r="K6" s="11"/>
    </row>
    <row r="7" spans="2:11" x14ac:dyDescent="0.3">
      <c r="B7" s="26" t="s">
        <v>15</v>
      </c>
      <c r="C7" s="56">
        <v>1032</v>
      </c>
      <c r="D7" s="10"/>
      <c r="E7" s="10"/>
      <c r="F7" s="10"/>
      <c r="G7" s="10"/>
      <c r="H7" s="10"/>
      <c r="I7" s="10"/>
      <c r="J7" s="10"/>
      <c r="K7" s="11"/>
    </row>
    <row r="8" spans="2:11" x14ac:dyDescent="0.3">
      <c r="B8" s="26" t="s">
        <v>16</v>
      </c>
      <c r="C8" s="56">
        <v>958</v>
      </c>
      <c r="D8" s="10"/>
      <c r="E8" s="10"/>
      <c r="F8" s="10"/>
      <c r="G8" s="10"/>
      <c r="H8" s="10"/>
      <c r="I8" s="10"/>
      <c r="J8" s="10"/>
      <c r="K8" s="11"/>
    </row>
    <row r="9" spans="2:11" x14ac:dyDescent="0.3">
      <c r="B9" s="26" t="s">
        <v>17</v>
      </c>
      <c r="C9" s="56">
        <v>1155</v>
      </c>
      <c r="D9" s="10"/>
      <c r="E9" s="10"/>
      <c r="F9" s="10"/>
      <c r="G9" s="10"/>
      <c r="H9" s="10"/>
      <c r="I9" s="10"/>
      <c r="J9" s="10"/>
      <c r="K9" s="11"/>
    </row>
    <row r="10" spans="2:11" x14ac:dyDescent="0.3">
      <c r="B10" s="26" t="s">
        <v>18</v>
      </c>
      <c r="C10" s="56">
        <v>1286</v>
      </c>
      <c r="D10" s="10"/>
      <c r="E10" s="10"/>
      <c r="F10" s="10"/>
      <c r="G10" s="10"/>
      <c r="H10" s="10"/>
      <c r="I10" s="10"/>
      <c r="J10" s="10"/>
      <c r="K10" s="11"/>
    </row>
    <row r="11" spans="2:11" ht="15" thickBot="1" x14ac:dyDescent="0.35">
      <c r="B11" s="27" t="s">
        <v>19</v>
      </c>
      <c r="C11" s="56">
        <v>1117</v>
      </c>
      <c r="D11" s="10"/>
      <c r="E11" s="10"/>
      <c r="F11" s="10"/>
      <c r="G11" s="10"/>
      <c r="H11" s="10"/>
      <c r="I11" s="10"/>
      <c r="J11" s="10"/>
      <c r="K11" s="11"/>
    </row>
    <row r="12" spans="2:11" ht="15" thickBot="1" x14ac:dyDescent="0.35">
      <c r="B12" s="21" t="s">
        <v>12</v>
      </c>
      <c r="C12" s="57">
        <v>6829</v>
      </c>
      <c r="D12" s="10"/>
      <c r="E12" s="10"/>
      <c r="F12" s="10"/>
      <c r="G12" s="10"/>
      <c r="H12" s="10"/>
      <c r="I12" s="10"/>
      <c r="J12" s="10"/>
      <c r="K12" s="11"/>
    </row>
    <row r="13" spans="2:11" x14ac:dyDescent="0.3">
      <c r="B13" s="12"/>
      <c r="C13" s="10"/>
      <c r="D13" s="10"/>
      <c r="E13" s="10"/>
      <c r="F13" s="10"/>
      <c r="G13" s="10"/>
      <c r="H13" s="10"/>
      <c r="I13" s="10"/>
      <c r="J13" s="10"/>
      <c r="K13" s="11"/>
    </row>
    <row r="14" spans="2:11" x14ac:dyDescent="0.3">
      <c r="B14" s="12"/>
      <c r="C14" s="10"/>
      <c r="D14" s="10"/>
      <c r="E14" s="10"/>
      <c r="F14" s="10"/>
      <c r="G14" s="10"/>
      <c r="H14" s="10"/>
      <c r="I14" s="10"/>
      <c r="J14" s="10"/>
      <c r="K14" s="11"/>
    </row>
    <row r="15" spans="2:11" x14ac:dyDescent="0.3">
      <c r="B15" s="12"/>
      <c r="C15" s="10"/>
      <c r="D15" s="10"/>
      <c r="E15" s="10"/>
      <c r="F15" s="10"/>
      <c r="G15" s="10"/>
      <c r="H15" s="10"/>
      <c r="I15" s="10"/>
      <c r="J15" s="10"/>
      <c r="K15" s="11"/>
    </row>
    <row r="16" spans="2:11" x14ac:dyDescent="0.3">
      <c r="B16" s="12"/>
      <c r="C16" s="10"/>
      <c r="D16" s="10"/>
      <c r="E16" s="10"/>
      <c r="F16" s="10"/>
      <c r="G16" s="10"/>
      <c r="H16" s="10"/>
      <c r="I16" s="10"/>
      <c r="J16" s="10"/>
      <c r="K16" s="11"/>
    </row>
    <row r="17" spans="2:11" x14ac:dyDescent="0.3">
      <c r="B17" s="12"/>
      <c r="C17" s="10"/>
      <c r="D17" s="10"/>
      <c r="E17" s="10"/>
      <c r="F17" s="10"/>
      <c r="G17" s="10"/>
      <c r="H17" s="10"/>
      <c r="I17" s="10"/>
      <c r="J17" s="10"/>
      <c r="K17" s="11"/>
    </row>
    <row r="18" spans="2:11" x14ac:dyDescent="0.3">
      <c r="B18" s="12"/>
      <c r="C18" s="10"/>
      <c r="D18" s="10"/>
      <c r="E18" s="10"/>
      <c r="F18" s="10"/>
      <c r="G18" s="10"/>
      <c r="H18" s="10"/>
      <c r="I18" s="10"/>
      <c r="J18" s="10"/>
      <c r="K18" s="11"/>
    </row>
    <row r="19" spans="2:11" x14ac:dyDescent="0.3">
      <c r="B19" s="12"/>
      <c r="C19" s="10"/>
      <c r="D19" s="10"/>
      <c r="E19" s="10"/>
      <c r="F19" s="10"/>
      <c r="G19" s="10"/>
      <c r="H19" s="10"/>
      <c r="I19" s="10"/>
      <c r="J19" s="10"/>
      <c r="K19" s="11"/>
    </row>
    <row r="20" spans="2:11" ht="15" thickBot="1" x14ac:dyDescent="0.35">
      <c r="B20" s="13"/>
      <c r="C20" s="14"/>
      <c r="D20" s="14"/>
      <c r="E20" s="14"/>
      <c r="F20" s="14"/>
      <c r="G20" s="14"/>
      <c r="H20" s="14"/>
      <c r="I20" s="14"/>
      <c r="J20" s="14"/>
      <c r="K20" s="15"/>
    </row>
  </sheetData>
  <mergeCells count="1">
    <mergeCell ref="B2:K2"/>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E058C-AE74-45E9-9570-FBB380B9D4DB}">
  <sheetPr>
    <tabColor rgb="FF00B0F0"/>
  </sheetPr>
  <dimension ref="B5:L22"/>
  <sheetViews>
    <sheetView topLeftCell="A4" workbookViewId="0">
      <selection activeCell="C8" sqref="C8:D20"/>
    </sheetView>
  </sheetViews>
  <sheetFormatPr defaultRowHeight="14.4" x14ac:dyDescent="0.3"/>
  <cols>
    <col min="1" max="1" width="20.88671875" bestFit="1" customWidth="1"/>
    <col min="2" max="2" width="12.44140625" customWidth="1"/>
    <col min="3" max="3" width="17.44140625" bestFit="1" customWidth="1"/>
    <col min="4" max="4" width="19.109375" bestFit="1" customWidth="1"/>
    <col min="5" max="5" width="6.88671875" bestFit="1" customWidth="1"/>
    <col min="6" max="7" width="4" bestFit="1" customWidth="1"/>
    <col min="8" max="8" width="9.6640625" bestFit="1" customWidth="1"/>
    <col min="9" max="9" width="10.5546875" bestFit="1" customWidth="1"/>
    <col min="10" max="10" width="3" bestFit="1" customWidth="1"/>
    <col min="11" max="13" width="4" bestFit="1" customWidth="1"/>
    <col min="14" max="14" width="10.21875" bestFit="1" customWidth="1"/>
    <col min="15" max="15" width="6.88671875" bestFit="1" customWidth="1"/>
    <col min="16" max="17" width="4" bestFit="1" customWidth="1"/>
    <col min="18" max="18" width="3" bestFit="1" customWidth="1"/>
    <col min="19" max="24" width="4" bestFit="1" customWidth="1"/>
    <col min="25" max="25" width="9.6640625" bestFit="1" customWidth="1"/>
    <col min="26" max="26" width="10.5546875" bestFit="1" customWidth="1"/>
  </cols>
  <sheetData>
    <row r="5" spans="2:12" ht="15" thickBot="1" x14ac:dyDescent="0.35"/>
    <row r="6" spans="2:12" ht="21.6" thickBot="1" x14ac:dyDescent="0.45">
      <c r="B6" s="83" t="s">
        <v>30</v>
      </c>
      <c r="C6" s="79"/>
      <c r="D6" s="79"/>
      <c r="E6" s="79"/>
      <c r="F6" s="79"/>
      <c r="G6" s="79"/>
      <c r="H6" s="79"/>
      <c r="I6" s="79"/>
      <c r="J6" s="79"/>
      <c r="K6" s="79"/>
      <c r="L6" s="80"/>
    </row>
    <row r="7" spans="2:12" ht="15" thickBot="1" x14ac:dyDescent="0.35"/>
    <row r="8" spans="2:12" ht="24" thickBot="1" x14ac:dyDescent="0.5">
      <c r="C8" s="58" t="s">
        <v>2</v>
      </c>
      <c r="D8" s="59" t="s">
        <v>13</v>
      </c>
      <c r="E8" s="8"/>
      <c r="F8" s="8"/>
      <c r="G8" s="8"/>
      <c r="H8" s="8"/>
      <c r="I8" s="9"/>
    </row>
    <row r="9" spans="2:12" ht="23.4" x14ac:dyDescent="0.45">
      <c r="C9" s="60" t="s">
        <v>9</v>
      </c>
      <c r="D9" s="61">
        <v>1805</v>
      </c>
      <c r="E9" s="10"/>
      <c r="F9" s="10"/>
      <c r="G9" s="10"/>
      <c r="H9" s="10"/>
      <c r="I9" s="11"/>
    </row>
    <row r="10" spans="2:12" ht="23.4" x14ac:dyDescent="0.45">
      <c r="C10" s="60" t="s">
        <v>7</v>
      </c>
      <c r="D10" s="62">
        <v>736</v>
      </c>
      <c r="E10" s="10"/>
      <c r="F10" s="10"/>
      <c r="G10" s="10"/>
      <c r="H10" s="10"/>
      <c r="I10" s="11"/>
    </row>
    <row r="11" spans="2:12" ht="23.4" x14ac:dyDescent="0.45">
      <c r="C11" s="60" t="s">
        <v>5</v>
      </c>
      <c r="D11" s="62">
        <v>1069</v>
      </c>
      <c r="E11" s="10"/>
      <c r="F11" s="10"/>
      <c r="G11" s="10"/>
      <c r="H11" s="10"/>
      <c r="I11" s="11"/>
    </row>
    <row r="12" spans="2:12" ht="23.4" x14ac:dyDescent="0.45">
      <c r="C12" s="60" t="s">
        <v>6</v>
      </c>
      <c r="D12" s="62">
        <v>2521</v>
      </c>
      <c r="E12" s="10"/>
      <c r="F12" s="10"/>
      <c r="G12" s="10"/>
      <c r="H12" s="10"/>
      <c r="I12" s="11"/>
    </row>
    <row r="13" spans="2:12" ht="23.4" x14ac:dyDescent="0.45">
      <c r="C13" s="60" t="s">
        <v>10</v>
      </c>
      <c r="D13" s="62">
        <v>467</v>
      </c>
      <c r="E13" s="10"/>
      <c r="F13" s="10"/>
      <c r="G13" s="10"/>
      <c r="H13" s="10"/>
      <c r="I13" s="11"/>
    </row>
    <row r="14" spans="2:12" ht="23.4" x14ac:dyDescent="0.45">
      <c r="C14" s="60" t="s">
        <v>7</v>
      </c>
      <c r="D14" s="62">
        <v>937</v>
      </c>
      <c r="E14" s="10"/>
      <c r="F14" s="10"/>
      <c r="G14" s="10"/>
      <c r="H14" s="10"/>
      <c r="I14" s="11"/>
    </row>
    <row r="15" spans="2:12" ht="23.4" x14ac:dyDescent="0.45">
      <c r="C15" s="60" t="s">
        <v>5</v>
      </c>
      <c r="D15" s="62">
        <v>1117</v>
      </c>
      <c r="E15" s="10"/>
      <c r="F15" s="10"/>
      <c r="G15" s="10"/>
      <c r="H15" s="10"/>
      <c r="I15" s="11"/>
    </row>
    <row r="16" spans="2:12" ht="23.4" x14ac:dyDescent="0.45">
      <c r="C16" s="60" t="s">
        <v>8</v>
      </c>
      <c r="D16" s="62">
        <v>2503</v>
      </c>
      <c r="E16" s="10"/>
      <c r="F16" s="10"/>
      <c r="G16" s="10"/>
      <c r="H16" s="10"/>
      <c r="I16" s="11"/>
    </row>
    <row r="17" spans="3:10" ht="23.4" x14ac:dyDescent="0.45">
      <c r="C17" s="60" t="s">
        <v>11</v>
      </c>
      <c r="D17" s="62">
        <v>347</v>
      </c>
      <c r="E17" s="10"/>
      <c r="F17" s="10"/>
      <c r="G17" s="10"/>
      <c r="H17" s="10"/>
      <c r="I17" s="11"/>
    </row>
    <row r="18" spans="3:10" ht="23.4" x14ac:dyDescent="0.45">
      <c r="C18" s="60" t="s">
        <v>7</v>
      </c>
      <c r="D18" s="62">
        <v>845</v>
      </c>
      <c r="E18" s="10"/>
      <c r="F18" s="10"/>
      <c r="G18" s="10"/>
      <c r="H18" s="10"/>
      <c r="I18" s="11"/>
    </row>
    <row r="19" spans="3:10" ht="24" thickBot="1" x14ac:dyDescent="0.5">
      <c r="C19" s="60" t="s">
        <v>5</v>
      </c>
      <c r="D19" s="62">
        <v>1311</v>
      </c>
      <c r="E19" s="10"/>
      <c r="F19" s="10"/>
      <c r="G19" s="10"/>
      <c r="H19" s="10"/>
      <c r="I19" s="11"/>
    </row>
    <row r="20" spans="3:10" ht="24" thickBot="1" x14ac:dyDescent="0.5">
      <c r="C20" s="59" t="s">
        <v>12</v>
      </c>
      <c r="D20" s="63">
        <v>6829</v>
      </c>
      <c r="E20" s="18"/>
      <c r="F20" s="18"/>
      <c r="G20" s="18"/>
      <c r="H20" s="18"/>
      <c r="I20" s="19"/>
    </row>
    <row r="21" spans="3:10" x14ac:dyDescent="0.3">
      <c r="E21" s="10"/>
      <c r="F21" s="10"/>
      <c r="G21" s="10"/>
      <c r="H21" s="10"/>
      <c r="I21" s="10"/>
      <c r="J21" s="10"/>
    </row>
    <row r="22" spans="3:10" x14ac:dyDescent="0.3">
      <c r="E22" s="10"/>
      <c r="F22" s="10"/>
      <c r="G22" s="10"/>
      <c r="H22" s="10"/>
      <c r="I22" s="10"/>
    </row>
  </sheetData>
  <mergeCells count="1">
    <mergeCell ref="B6:L6"/>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43C37-30FC-4DEC-9B10-263F5C0CEED0}">
  <sheetPr>
    <tabColor rgb="FF0070C0"/>
  </sheetPr>
  <dimension ref="A1"/>
  <sheetViews>
    <sheetView workbookViewId="0">
      <selection activeCell="A18" sqref="A18"/>
    </sheetView>
  </sheetViews>
  <sheetFormatPr defaultRowHeight="14.4" x14ac:dyDescent="0.3"/>
  <cols>
    <col min="1" max="16384" width="8.88671875" style="6"/>
  </cols>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18C08-17AE-4AB4-91A8-C258988DF61F}">
  <sheetPr>
    <tabColor rgb="FF002060"/>
  </sheetPr>
  <dimension ref="A2:L50"/>
  <sheetViews>
    <sheetView workbookViewId="0">
      <selection activeCell="A29" sqref="A29"/>
    </sheetView>
  </sheetViews>
  <sheetFormatPr defaultRowHeight="14.4" x14ac:dyDescent="0.3"/>
  <cols>
    <col min="1" max="1" width="11.5546875" bestFit="1" customWidth="1"/>
    <col min="2" max="2" width="14.21875" bestFit="1" customWidth="1"/>
    <col min="3" max="3" width="14.44140625" bestFit="1" customWidth="1"/>
  </cols>
  <sheetData>
    <row r="2" spans="1:12" ht="24" thickBot="1" x14ac:dyDescent="0.5">
      <c r="A2" s="84" t="s">
        <v>24</v>
      </c>
      <c r="B2" s="85"/>
      <c r="C2" s="85"/>
    </row>
    <row r="3" spans="1:12" ht="15" thickBot="1" x14ac:dyDescent="0.35">
      <c r="A3" s="7"/>
      <c r="B3" s="8"/>
      <c r="C3" s="9"/>
      <c r="L3" s="42"/>
    </row>
    <row r="4" spans="1:12" ht="15" thickBot="1" x14ac:dyDescent="0.35">
      <c r="A4" s="64" t="s">
        <v>13</v>
      </c>
      <c r="B4" s="65" t="s">
        <v>20</v>
      </c>
      <c r="C4" s="66" t="s">
        <v>21</v>
      </c>
    </row>
    <row r="5" spans="1:12" ht="15" thickBot="1" x14ac:dyDescent="0.35">
      <c r="A5" s="67">
        <v>6829</v>
      </c>
      <c r="B5" s="68">
        <v>1198</v>
      </c>
      <c r="C5" s="69">
        <v>341.45</v>
      </c>
    </row>
    <row r="6" spans="1:12" x14ac:dyDescent="0.3">
      <c r="A6" s="16"/>
      <c r="B6" s="70"/>
      <c r="C6" s="71"/>
    </row>
    <row r="7" spans="1:12" x14ac:dyDescent="0.3">
      <c r="A7" s="72" t="s">
        <v>13</v>
      </c>
      <c r="B7" s="73" t="s">
        <v>20</v>
      </c>
      <c r="C7" s="74" t="s">
        <v>21</v>
      </c>
    </row>
    <row r="8" spans="1:12" ht="15" thickBot="1" x14ac:dyDescent="0.35">
      <c r="A8" s="75">
        <f>GETPIVOTDATA("Sum of Sales",$A$4)</f>
        <v>6829</v>
      </c>
      <c r="B8" s="76">
        <f>GETPIVOTDATA("Sum of Quantity",$A$4)</f>
        <v>1198</v>
      </c>
      <c r="C8" s="77">
        <f>GETPIVOTDATA("Average of Sales",$A$4)</f>
        <v>341.45</v>
      </c>
    </row>
    <row r="12" spans="1:12" ht="23.4" x14ac:dyDescent="0.45">
      <c r="A12" s="84" t="s">
        <v>33</v>
      </c>
      <c r="B12" s="85"/>
      <c r="C12" s="85"/>
      <c r="D12" s="85"/>
      <c r="E12" s="85"/>
      <c r="F12" s="85"/>
      <c r="G12" s="85"/>
      <c r="H12" s="85"/>
      <c r="I12" s="85"/>
      <c r="J12" s="85"/>
    </row>
    <row r="13" spans="1:12" ht="15" thickBot="1" x14ac:dyDescent="0.35"/>
    <row r="14" spans="1:12" ht="15" thickBot="1" x14ac:dyDescent="0.35">
      <c r="A14" s="7"/>
      <c r="B14" s="8"/>
      <c r="C14" s="8"/>
      <c r="D14" s="8"/>
      <c r="E14" s="8"/>
      <c r="F14" s="8"/>
      <c r="G14" s="8"/>
      <c r="H14" s="8"/>
      <c r="I14" s="8"/>
      <c r="J14" s="9"/>
    </row>
    <row r="15" spans="1:12" ht="15" thickBot="1" x14ac:dyDescent="0.35">
      <c r="A15" s="20" t="s">
        <v>1</v>
      </c>
      <c r="B15" s="21" t="s">
        <v>13</v>
      </c>
      <c r="C15" s="10"/>
      <c r="D15" s="10"/>
      <c r="E15" s="10"/>
      <c r="F15" s="10"/>
      <c r="G15" s="10"/>
      <c r="H15" s="10"/>
      <c r="I15" s="10"/>
      <c r="J15" s="11"/>
    </row>
    <row r="16" spans="1:12" x14ac:dyDescent="0.3">
      <c r="A16" s="25" t="s">
        <v>10</v>
      </c>
      <c r="B16" s="55">
        <v>467</v>
      </c>
      <c r="C16" s="10"/>
      <c r="D16" s="10"/>
      <c r="E16" s="10"/>
      <c r="F16" s="10"/>
      <c r="G16" s="10"/>
      <c r="H16" s="10"/>
      <c r="I16" s="10"/>
      <c r="J16" s="11"/>
    </row>
    <row r="17" spans="1:10" x14ac:dyDescent="0.3">
      <c r="A17" s="26" t="s">
        <v>11</v>
      </c>
      <c r="B17" s="56">
        <v>347</v>
      </c>
      <c r="C17" s="10"/>
      <c r="D17" s="10"/>
      <c r="E17" s="10"/>
      <c r="F17" s="10"/>
      <c r="G17" s="10"/>
      <c r="H17" s="10"/>
      <c r="I17" s="10"/>
      <c r="J17" s="11"/>
    </row>
    <row r="18" spans="1:10" x14ac:dyDescent="0.3">
      <c r="A18" s="26" t="s">
        <v>7</v>
      </c>
      <c r="B18" s="56">
        <v>2518</v>
      </c>
      <c r="C18" s="10"/>
      <c r="D18" s="10"/>
      <c r="E18" s="10"/>
      <c r="F18" s="10"/>
      <c r="G18" s="10"/>
      <c r="H18" s="10"/>
      <c r="I18" s="10"/>
      <c r="J18" s="11"/>
    </row>
    <row r="19" spans="1:10" ht="15" thickBot="1" x14ac:dyDescent="0.35">
      <c r="A19" s="27" t="s">
        <v>5</v>
      </c>
      <c r="B19" s="56">
        <v>3497</v>
      </c>
      <c r="C19" s="10"/>
      <c r="D19" s="10"/>
      <c r="E19" s="10"/>
      <c r="F19" s="10"/>
      <c r="G19" s="10"/>
      <c r="H19" s="10"/>
      <c r="I19" s="10"/>
      <c r="J19" s="11"/>
    </row>
    <row r="20" spans="1:10" ht="15" thickBot="1" x14ac:dyDescent="0.35">
      <c r="A20" s="21" t="s">
        <v>12</v>
      </c>
      <c r="B20" s="57">
        <v>6829</v>
      </c>
      <c r="C20" s="10"/>
      <c r="D20" s="10"/>
      <c r="E20" s="10"/>
      <c r="F20" s="10"/>
      <c r="G20" s="10"/>
      <c r="H20" s="10"/>
      <c r="I20" s="10"/>
      <c r="J20" s="11"/>
    </row>
    <row r="21" spans="1:10" x14ac:dyDescent="0.3">
      <c r="A21" s="12"/>
      <c r="B21" s="10"/>
      <c r="C21" s="10"/>
      <c r="D21" s="10"/>
      <c r="E21" s="10"/>
      <c r="F21" s="10"/>
      <c r="G21" s="10"/>
      <c r="H21" s="10"/>
      <c r="I21" s="10"/>
      <c r="J21" s="11"/>
    </row>
    <row r="22" spans="1:10" x14ac:dyDescent="0.3">
      <c r="A22" s="12"/>
      <c r="B22" s="10"/>
      <c r="C22" s="10"/>
      <c r="D22" s="10"/>
      <c r="E22" s="10"/>
      <c r="F22" s="10"/>
      <c r="G22" s="10"/>
      <c r="H22" s="10"/>
      <c r="I22" s="10"/>
      <c r="J22" s="11"/>
    </row>
    <row r="23" spans="1:10" x14ac:dyDescent="0.3">
      <c r="A23" s="12"/>
      <c r="B23" s="10"/>
      <c r="C23" s="10"/>
      <c r="D23" s="10"/>
      <c r="E23" s="10"/>
      <c r="F23" s="10"/>
      <c r="G23" s="10"/>
      <c r="H23" s="10"/>
      <c r="I23" s="10"/>
      <c r="J23" s="11"/>
    </row>
    <row r="24" spans="1:10" x14ac:dyDescent="0.3">
      <c r="A24" s="12"/>
      <c r="B24" s="10"/>
      <c r="C24" s="10"/>
      <c r="D24" s="10"/>
      <c r="E24" s="10"/>
      <c r="F24" s="10"/>
      <c r="G24" s="10"/>
      <c r="H24" s="10"/>
      <c r="I24" s="10"/>
      <c r="J24" s="11"/>
    </row>
    <row r="25" spans="1:10" x14ac:dyDescent="0.3">
      <c r="A25" s="12"/>
      <c r="B25" s="10"/>
      <c r="C25" s="10"/>
      <c r="D25" s="10"/>
      <c r="E25" s="10"/>
      <c r="F25" s="10"/>
      <c r="G25" s="10"/>
      <c r="H25" s="10"/>
      <c r="I25" s="10"/>
      <c r="J25" s="11"/>
    </row>
    <row r="26" spans="1:10" x14ac:dyDescent="0.3">
      <c r="A26" s="12"/>
      <c r="B26" s="10"/>
      <c r="C26" s="10"/>
      <c r="D26" s="10"/>
      <c r="E26" s="10"/>
      <c r="F26" s="10"/>
      <c r="G26" s="10"/>
      <c r="H26" s="10"/>
      <c r="I26" s="10"/>
      <c r="J26" s="11"/>
    </row>
    <row r="27" spans="1:10" x14ac:dyDescent="0.3">
      <c r="A27" s="12"/>
      <c r="B27" s="10"/>
      <c r="C27" s="10"/>
      <c r="D27" s="10"/>
      <c r="E27" s="10"/>
      <c r="F27" s="10"/>
      <c r="G27" s="10"/>
      <c r="H27" s="10"/>
      <c r="I27" s="10"/>
      <c r="J27" s="11"/>
    </row>
    <row r="28" spans="1:10" x14ac:dyDescent="0.3">
      <c r="A28" s="12"/>
      <c r="B28" s="10"/>
      <c r="C28" s="10"/>
      <c r="D28" s="10"/>
      <c r="E28" s="10"/>
      <c r="F28" s="10"/>
      <c r="G28" s="10"/>
      <c r="H28" s="10"/>
      <c r="I28" s="10"/>
      <c r="J28" s="11"/>
    </row>
    <row r="29" spans="1:10" x14ac:dyDescent="0.3">
      <c r="A29" s="12"/>
      <c r="B29" s="10"/>
      <c r="C29" s="10"/>
      <c r="D29" s="10"/>
      <c r="E29" s="10"/>
      <c r="F29" s="10"/>
      <c r="G29" s="10"/>
      <c r="H29" s="10"/>
      <c r="I29" s="10"/>
      <c r="J29" s="11"/>
    </row>
    <row r="30" spans="1:10" ht="15" thickBot="1" x14ac:dyDescent="0.35">
      <c r="A30" s="13"/>
      <c r="B30" s="14"/>
      <c r="C30" s="14"/>
      <c r="D30" s="14"/>
      <c r="E30" s="14"/>
      <c r="F30" s="14"/>
      <c r="G30" s="14"/>
      <c r="H30" s="14"/>
      <c r="I30" s="14"/>
      <c r="J30" s="15"/>
    </row>
    <row r="32" spans="1:10" ht="23.4" x14ac:dyDescent="0.45">
      <c r="A32" s="84" t="s">
        <v>34</v>
      </c>
      <c r="B32" s="85"/>
      <c r="C32" s="85"/>
      <c r="D32" s="85"/>
      <c r="E32" s="85"/>
      <c r="F32" s="85"/>
      <c r="G32" s="85"/>
      <c r="H32" s="85"/>
      <c r="I32" s="85"/>
      <c r="J32" s="85"/>
    </row>
    <row r="33" spans="1:10" ht="15" thickBot="1" x14ac:dyDescent="0.35"/>
    <row r="34" spans="1:10" ht="15" thickBot="1" x14ac:dyDescent="0.35">
      <c r="A34" s="7"/>
      <c r="B34" s="8"/>
      <c r="C34" s="8"/>
      <c r="D34" s="8"/>
      <c r="E34" s="8"/>
      <c r="F34" s="8"/>
      <c r="G34" s="8"/>
      <c r="H34" s="8"/>
      <c r="I34" s="8"/>
      <c r="J34" s="9"/>
    </row>
    <row r="35" spans="1:10" ht="15" thickBot="1" x14ac:dyDescent="0.35">
      <c r="A35" s="20" t="s">
        <v>25</v>
      </c>
      <c r="B35" s="21" t="s">
        <v>13</v>
      </c>
      <c r="C35" s="10"/>
      <c r="D35" s="10"/>
      <c r="E35" s="10"/>
      <c r="F35" s="10"/>
      <c r="G35" s="10"/>
      <c r="H35" s="10"/>
      <c r="I35" s="10"/>
      <c r="J35" s="11"/>
    </row>
    <row r="36" spans="1:10" x14ac:dyDescent="0.3">
      <c r="A36" s="25" t="s">
        <v>14</v>
      </c>
      <c r="B36" s="55">
        <v>1281</v>
      </c>
      <c r="C36" s="10"/>
      <c r="D36" s="10"/>
      <c r="E36" s="10"/>
      <c r="F36" s="10"/>
      <c r="G36" s="10"/>
      <c r="H36" s="10"/>
      <c r="I36" s="10"/>
      <c r="J36" s="11"/>
    </row>
    <row r="37" spans="1:10" x14ac:dyDescent="0.3">
      <c r="A37" s="26" t="s">
        <v>15</v>
      </c>
      <c r="B37" s="56">
        <v>1032</v>
      </c>
      <c r="C37" s="10"/>
      <c r="D37" s="10"/>
      <c r="E37" s="10"/>
      <c r="F37" s="10"/>
      <c r="G37" s="10"/>
      <c r="H37" s="10"/>
      <c r="I37" s="10"/>
      <c r="J37" s="11"/>
    </row>
    <row r="38" spans="1:10" x14ac:dyDescent="0.3">
      <c r="A38" s="26" t="s">
        <v>16</v>
      </c>
      <c r="B38" s="56">
        <v>958</v>
      </c>
      <c r="C38" s="10"/>
      <c r="D38" s="10"/>
      <c r="E38" s="10"/>
      <c r="F38" s="10"/>
      <c r="G38" s="10"/>
      <c r="H38" s="10"/>
      <c r="I38" s="10"/>
      <c r="J38" s="11"/>
    </row>
    <row r="39" spans="1:10" x14ac:dyDescent="0.3">
      <c r="A39" s="26" t="s">
        <v>17</v>
      </c>
      <c r="B39" s="56">
        <v>1155</v>
      </c>
      <c r="C39" s="10"/>
      <c r="D39" s="10"/>
      <c r="E39" s="10"/>
      <c r="F39" s="10"/>
      <c r="G39" s="10"/>
      <c r="H39" s="10"/>
      <c r="I39" s="10"/>
      <c r="J39" s="11"/>
    </row>
    <row r="40" spans="1:10" x14ac:dyDescent="0.3">
      <c r="A40" s="26" t="s">
        <v>18</v>
      </c>
      <c r="B40" s="56">
        <v>1286</v>
      </c>
      <c r="C40" s="10"/>
      <c r="D40" s="10"/>
      <c r="E40" s="10"/>
      <c r="F40" s="10"/>
      <c r="G40" s="10"/>
      <c r="H40" s="10"/>
      <c r="I40" s="10"/>
      <c r="J40" s="11"/>
    </row>
    <row r="41" spans="1:10" ht="15" thickBot="1" x14ac:dyDescent="0.35">
      <c r="A41" s="27" t="s">
        <v>19</v>
      </c>
      <c r="B41" s="56">
        <v>1117</v>
      </c>
      <c r="C41" s="10"/>
      <c r="D41" s="10"/>
      <c r="E41" s="10"/>
      <c r="F41" s="10"/>
      <c r="G41" s="10"/>
      <c r="H41" s="10"/>
      <c r="I41" s="10"/>
      <c r="J41" s="11"/>
    </row>
    <row r="42" spans="1:10" ht="15" thickBot="1" x14ac:dyDescent="0.35">
      <c r="A42" s="21" t="s">
        <v>12</v>
      </c>
      <c r="B42" s="57">
        <v>6829</v>
      </c>
      <c r="C42" s="10"/>
      <c r="D42" s="10"/>
      <c r="E42" s="10"/>
      <c r="F42" s="10"/>
      <c r="G42" s="10"/>
      <c r="H42" s="10"/>
      <c r="I42" s="10"/>
      <c r="J42" s="11"/>
    </row>
    <row r="43" spans="1:10" x14ac:dyDescent="0.3">
      <c r="A43" s="12"/>
      <c r="B43" s="10"/>
      <c r="C43" s="10"/>
      <c r="D43" s="10"/>
      <c r="E43" s="10"/>
      <c r="F43" s="10"/>
      <c r="G43" s="10"/>
      <c r="H43" s="10"/>
      <c r="I43" s="10"/>
      <c r="J43" s="11"/>
    </row>
    <row r="44" spans="1:10" x14ac:dyDescent="0.3">
      <c r="A44" s="12"/>
      <c r="B44" s="10"/>
      <c r="C44" s="10"/>
      <c r="D44" s="10"/>
      <c r="E44" s="10"/>
      <c r="F44" s="10"/>
      <c r="G44" s="10"/>
      <c r="H44" s="10"/>
      <c r="I44" s="10"/>
      <c r="J44" s="11"/>
    </row>
    <row r="45" spans="1:10" x14ac:dyDescent="0.3">
      <c r="A45" s="12"/>
      <c r="B45" s="10"/>
      <c r="C45" s="10"/>
      <c r="D45" s="10"/>
      <c r="E45" s="10"/>
      <c r="F45" s="10"/>
      <c r="G45" s="10"/>
      <c r="H45" s="10"/>
      <c r="I45" s="10"/>
      <c r="J45" s="11"/>
    </row>
    <row r="46" spans="1:10" x14ac:dyDescent="0.3">
      <c r="A46" s="12"/>
      <c r="B46" s="10"/>
      <c r="C46" s="10"/>
      <c r="D46" s="10"/>
      <c r="E46" s="10"/>
      <c r="F46" s="10"/>
      <c r="G46" s="10"/>
      <c r="H46" s="10"/>
      <c r="I46" s="10"/>
      <c r="J46" s="11"/>
    </row>
    <row r="47" spans="1:10" x14ac:dyDescent="0.3">
      <c r="A47" s="12"/>
      <c r="B47" s="10"/>
      <c r="C47" s="10"/>
      <c r="D47" s="10"/>
      <c r="E47" s="10"/>
      <c r="F47" s="10"/>
      <c r="G47" s="10"/>
      <c r="H47" s="10"/>
      <c r="I47" s="10"/>
      <c r="J47" s="11"/>
    </row>
    <row r="48" spans="1:10" x14ac:dyDescent="0.3">
      <c r="A48" s="12"/>
      <c r="B48" s="10"/>
      <c r="C48" s="10"/>
      <c r="D48" s="10"/>
      <c r="E48" s="10"/>
      <c r="F48" s="10"/>
      <c r="G48" s="10"/>
      <c r="H48" s="10"/>
      <c r="I48" s="10"/>
      <c r="J48" s="11"/>
    </row>
    <row r="49" spans="1:10" x14ac:dyDescent="0.3">
      <c r="A49" s="12"/>
      <c r="B49" s="10"/>
      <c r="C49" s="10"/>
      <c r="D49" s="10"/>
      <c r="E49" s="10"/>
      <c r="F49" s="10"/>
      <c r="G49" s="10"/>
      <c r="H49" s="10"/>
      <c r="I49" s="10"/>
      <c r="J49" s="11"/>
    </row>
    <row r="50" spans="1:10" ht="15" thickBot="1" x14ac:dyDescent="0.35">
      <c r="A50" s="13"/>
      <c r="B50" s="14"/>
      <c r="C50" s="14"/>
      <c r="D50" s="14"/>
      <c r="E50" s="14"/>
      <c r="F50" s="14"/>
      <c r="G50" s="14"/>
      <c r="H50" s="14"/>
      <c r="I50" s="14"/>
      <c r="J50" s="15"/>
    </row>
  </sheetData>
  <mergeCells count="3">
    <mergeCell ref="A12:J12"/>
    <mergeCell ref="A2:C2"/>
    <mergeCell ref="A32:J32"/>
  </mergeCells>
  <pageMargins left="0.7" right="0.7" top="0.75" bottom="0.75" header="0.3" footer="0.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C6340-F1B8-45E2-BDF7-2430C6EA7609}">
  <sheetPr>
    <tabColor rgb="FF7030A0"/>
  </sheetPr>
  <dimension ref="A1"/>
  <sheetViews>
    <sheetView tabSelected="1" workbookViewId="0">
      <selection activeCell="S4" sqref="S4"/>
    </sheetView>
  </sheetViews>
  <sheetFormatPr defaultRowHeight="14.4" x14ac:dyDescent="0.3"/>
  <cols>
    <col min="1" max="10" width="8.88671875" style="6"/>
    <col min="11" max="12" width="12.44140625" style="6" bestFit="1" customWidth="1"/>
    <col min="13" max="13" width="11.5546875" style="6" bestFit="1" customWidth="1"/>
    <col min="14"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9ECB0-3949-4C37-9979-C10C59597711}">
  <sheetPr>
    <tabColor theme="5" tint="0.39997558519241921"/>
  </sheetPr>
  <dimension ref="C2:O12"/>
  <sheetViews>
    <sheetView workbookViewId="0">
      <selection activeCell="J8" sqref="J8"/>
    </sheetView>
  </sheetViews>
  <sheetFormatPr defaultRowHeight="14.4" x14ac:dyDescent="0.3"/>
  <cols>
    <col min="1" max="1" width="11.44140625" bestFit="1" customWidth="1"/>
    <col min="2" max="3" width="14.44140625" bestFit="1" customWidth="1"/>
    <col min="6" max="6" width="17.6640625" bestFit="1" customWidth="1"/>
    <col min="7" max="7" width="14.44140625" bestFit="1" customWidth="1"/>
  </cols>
  <sheetData>
    <row r="2" spans="3:15" ht="15" thickBot="1" x14ac:dyDescent="0.35"/>
    <row r="3" spans="3:15" ht="21.6" thickBot="1" x14ac:dyDescent="0.45">
      <c r="C3" s="78" t="s">
        <v>31</v>
      </c>
      <c r="D3" s="79"/>
      <c r="E3" s="79"/>
      <c r="F3" s="79"/>
      <c r="G3" s="79"/>
      <c r="H3" s="79"/>
      <c r="I3" s="79"/>
      <c r="J3" s="79"/>
      <c r="K3" s="79"/>
      <c r="L3" s="79"/>
      <c r="M3" s="79"/>
      <c r="N3" s="79"/>
      <c r="O3" s="80"/>
    </row>
    <row r="4" spans="3:15" ht="15" thickBot="1" x14ac:dyDescent="0.35"/>
    <row r="5" spans="3:15" ht="15" thickBot="1" x14ac:dyDescent="0.35">
      <c r="F5" s="20" t="s">
        <v>25</v>
      </c>
      <c r="G5" s="21" t="s">
        <v>21</v>
      </c>
    </row>
    <row r="6" spans="3:15" x14ac:dyDescent="0.3">
      <c r="F6" s="25" t="s">
        <v>14</v>
      </c>
      <c r="G6" s="22">
        <v>320.25</v>
      </c>
    </row>
    <row r="7" spans="3:15" x14ac:dyDescent="0.3">
      <c r="F7" s="26" t="s">
        <v>15</v>
      </c>
      <c r="G7" s="23">
        <v>344</v>
      </c>
    </row>
    <row r="8" spans="3:15" x14ac:dyDescent="0.3">
      <c r="F8" s="26" t="s">
        <v>16</v>
      </c>
      <c r="G8" s="23">
        <v>319.33333333333331</v>
      </c>
    </row>
    <row r="9" spans="3:15" x14ac:dyDescent="0.3">
      <c r="F9" s="26" t="s">
        <v>17</v>
      </c>
      <c r="G9" s="23">
        <v>385</v>
      </c>
    </row>
    <row r="10" spans="3:15" x14ac:dyDescent="0.3">
      <c r="F10" s="26" t="s">
        <v>18</v>
      </c>
      <c r="G10" s="23">
        <v>428.66666666666669</v>
      </c>
    </row>
    <row r="11" spans="3:15" ht="15" thickBot="1" x14ac:dyDescent="0.35">
      <c r="F11" s="27" t="s">
        <v>19</v>
      </c>
      <c r="G11" s="24">
        <v>279.25</v>
      </c>
    </row>
    <row r="12" spans="3:15" ht="15" thickBot="1" x14ac:dyDescent="0.35">
      <c r="F12" s="17" t="s">
        <v>26</v>
      </c>
      <c r="G12" s="45">
        <f>AVERAGE(G6:G11)</f>
        <v>346.08333333333331</v>
      </c>
    </row>
  </sheetData>
  <mergeCells count="1">
    <mergeCell ref="C3:O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7FFC6-D923-42AD-AC81-A8F7C454B021}">
  <sheetPr>
    <tabColor theme="9" tint="0.39997558519241921"/>
  </sheetPr>
  <dimension ref="C1:Q7"/>
  <sheetViews>
    <sheetView workbookViewId="0">
      <selection activeCell="C15" sqref="C15"/>
    </sheetView>
  </sheetViews>
  <sheetFormatPr defaultRowHeight="14.4" x14ac:dyDescent="0.3"/>
  <cols>
    <col min="1" max="1" width="12.44140625" bestFit="1" customWidth="1"/>
    <col min="2" max="2" width="11.5546875" bestFit="1" customWidth="1"/>
    <col min="3" max="3" width="18.88671875" bestFit="1" customWidth="1"/>
    <col min="6" max="6" width="12.44140625" bestFit="1" customWidth="1"/>
    <col min="7" max="7" width="11.5546875" bestFit="1" customWidth="1"/>
  </cols>
  <sheetData>
    <row r="1" spans="3:17" ht="15" thickBot="1" x14ac:dyDescent="0.35"/>
    <row r="2" spans="3:17" ht="21.6" thickBot="1" x14ac:dyDescent="0.45">
      <c r="C2" s="78" t="s">
        <v>32</v>
      </c>
      <c r="D2" s="79"/>
      <c r="E2" s="79"/>
      <c r="F2" s="79"/>
      <c r="G2" s="79"/>
      <c r="H2" s="79"/>
      <c r="I2" s="79"/>
      <c r="J2" s="79"/>
      <c r="K2" s="79"/>
      <c r="L2" s="79"/>
      <c r="M2" s="79"/>
      <c r="N2" s="79"/>
      <c r="O2" s="79"/>
      <c r="P2" s="79"/>
      <c r="Q2" s="80"/>
    </row>
    <row r="4" spans="3:17" x14ac:dyDescent="0.3">
      <c r="F4" s="1" t="s">
        <v>2</v>
      </c>
      <c r="G4" t="s">
        <v>13</v>
      </c>
    </row>
    <row r="5" spans="3:17" x14ac:dyDescent="0.3">
      <c r="F5" s="2" t="s">
        <v>22</v>
      </c>
      <c r="G5" s="3">
        <v>4308</v>
      </c>
    </row>
    <row r="6" spans="3:17" x14ac:dyDescent="0.3">
      <c r="F6" s="2" t="s">
        <v>6</v>
      </c>
      <c r="G6" s="3">
        <v>2521</v>
      </c>
    </row>
    <row r="7" spans="3:17" x14ac:dyDescent="0.3">
      <c r="F7" s="2" t="s">
        <v>12</v>
      </c>
      <c r="G7" s="3">
        <v>6829</v>
      </c>
    </row>
  </sheetData>
  <mergeCells count="1">
    <mergeCell ref="C2:Q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DataSet</vt:lpstr>
      <vt:lpstr>Question 1</vt:lpstr>
      <vt:lpstr>Question 2</vt:lpstr>
      <vt:lpstr>Question 3</vt:lpstr>
      <vt:lpstr>Question 4</vt:lpstr>
      <vt:lpstr>Questiion 5</vt:lpstr>
      <vt:lpstr>Question 6</vt:lpstr>
      <vt:lpstr>Question 7</vt:lpstr>
      <vt:lpstr> Analysis for Dashboard</vt:lpstr>
      <vt:lpstr>Question 8 Dashboard</vt:lpstr>
      <vt:lpstr>Question 9</vt:lpstr>
      <vt:lpstr>Question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Singh</dc:creator>
  <cp:lastModifiedBy>Ayush Singh</cp:lastModifiedBy>
  <dcterms:created xsi:type="dcterms:W3CDTF">2025-12-10T13:03:18Z</dcterms:created>
  <dcterms:modified xsi:type="dcterms:W3CDTF">2025-12-10T19:25:25Z</dcterms:modified>
</cp:coreProperties>
</file>