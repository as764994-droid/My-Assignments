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13_ncr:1_{CC096308-AF4C-4EB1-925C-0DECA34633EF}" xr6:coauthVersionLast="47" xr6:coauthVersionMax="47" xr10:uidLastSave="{00000000-0000-0000-0000-000000000000}"/>
  <bookViews>
    <workbookView xWindow="-108" yWindow="-108" windowWidth="23256" windowHeight="13176" activeTab="7" xr2:uid="{E20B38E7-940A-43E6-9F08-C2C382BD04E1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  <c r="F2" i="8"/>
  <c r="F3" i="7"/>
  <c r="D2" i="6"/>
  <c r="J3" i="5"/>
  <c r="I3" i="5"/>
  <c r="G2" i="4"/>
  <c r="C2" i="3"/>
  <c r="D2" i="2"/>
  <c r="D3" i="6"/>
  <c r="D4" i="6"/>
  <c r="C3" i="3"/>
  <c r="C4" i="3"/>
  <c r="C5" i="3"/>
  <c r="C6" i="3"/>
  <c r="D3" i="2"/>
  <c r="D4" i="2"/>
  <c r="D5" i="2"/>
</calcChain>
</file>

<file path=xl/sharedStrings.xml><?xml version="1.0" encoding="utf-8"?>
<sst xmlns="http://schemas.openxmlformats.org/spreadsheetml/2006/main" count="73" uniqueCount="56">
  <si>
    <t>Student Name</t>
  </si>
  <si>
    <t>Marks</t>
  </si>
  <si>
    <t>Riya</t>
  </si>
  <si>
    <t>Siya</t>
  </si>
  <si>
    <t>Raju</t>
  </si>
  <si>
    <t>Rahul</t>
  </si>
  <si>
    <t>Ram</t>
  </si>
  <si>
    <t>Result</t>
  </si>
  <si>
    <t>Employee</t>
  </si>
  <si>
    <t>Sale</t>
  </si>
  <si>
    <t>Arjun</t>
  </si>
  <si>
    <t>Simran</t>
  </si>
  <si>
    <t>Rohit</t>
  </si>
  <si>
    <t>Anjali</t>
  </si>
  <si>
    <t>Eligibility for Bonus</t>
  </si>
  <si>
    <t>Raj</t>
  </si>
  <si>
    <t>Neha</t>
  </si>
  <si>
    <t>Vivek</t>
  </si>
  <si>
    <t>Rani</t>
  </si>
  <si>
    <t>Sneha</t>
  </si>
  <si>
    <t>Grades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</si>
  <si>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</si>
  <si>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</si>
  <si>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</si>
  <si>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</si>
  <si>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</si>
  <si>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</si>
  <si>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</si>
  <si>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</si>
  <si>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</si>
  <si>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</si>
  <si>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</si>
  <si>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</si>
  <si>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Sales</t>
  </si>
  <si>
    <t>VLOOKUP</t>
  </si>
  <si>
    <t>Sales Amount</t>
  </si>
  <si>
    <t>If a salesperson achieves sales of ₹45,000</t>
  </si>
  <si>
    <t>Particulars</t>
  </si>
  <si>
    <t>Commission Rate</t>
  </si>
  <si>
    <t>Employee Name</t>
  </si>
  <si>
    <t>Leave Taken</t>
  </si>
  <si>
    <t>Leave Allowed</t>
  </si>
  <si>
    <t>Alex</t>
  </si>
  <si>
    <t>Bob</t>
  </si>
  <si>
    <t>Anna</t>
  </si>
  <si>
    <t>Leave Balance</t>
  </si>
  <si>
    <t>Salary</t>
  </si>
  <si>
    <t>E105</t>
  </si>
  <si>
    <t>E106</t>
  </si>
  <si>
    <t>E303</t>
  </si>
  <si>
    <t>E301</t>
  </si>
  <si>
    <t>Attendance</t>
  </si>
  <si>
    <t>Commission</t>
  </si>
  <si>
    <t>XLOOKUP</t>
  </si>
  <si>
    <t>INDEX-MATCH Function</t>
  </si>
  <si>
    <t>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</si>
</sst>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2" xfId="0" applyFont="1" applyBorder="1" applyAlignment="1">
      <alignment horizontal="center"/>
    </xf>
    <xf numFmtId="9" fontId="0" fillId="0" borderId="7" xfId="1" applyNumberFormat="1" applyFont="1" applyBorder="1" applyAlignment="1">
      <alignment horizontal="center"/>
    </xf>
    <xf numFmtId="9" fontId="0" fillId="0" borderId="10" xfId="1" applyNumberFormat="1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/>
    <xf numFmtId="9" fontId="0" fillId="0" borderId="9" xfId="1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5" xfId="0" applyFont="1" applyFill="1" applyBorder="1"/>
    <xf numFmtId="0" fontId="2" fillId="0" borderId="19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2" fillId="7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3" borderId="4" xfId="0" applyFont="1" applyFill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E74A-1F0D-4311-BF56-EDB653F8457F}">
  <sheetPr>
    <tabColor rgb="FFC00000"/>
  </sheetPr>
  <dimension ref="A1:C6"/>
  <sheetViews>
    <sheetView workbookViewId="0">
      <selection activeCell="F5" sqref="F5"/>
    </sheetView>
  </sheetViews>
  <sheetFormatPr defaultRowHeight="14.4" x14ac:dyDescent="0.3"/>
  <cols>
    <col min="1" max="1" width="12.88671875" bestFit="1" customWidth="1"/>
    <col min="2" max="2" width="8.88671875" style="1"/>
  </cols>
  <sheetData>
    <row r="1" spans="1:3" x14ac:dyDescent="0.3">
      <c r="A1" s="5" t="s">
        <v>0</v>
      </c>
      <c r="B1" s="6" t="s">
        <v>1</v>
      </c>
      <c r="C1" s="7" t="s">
        <v>7</v>
      </c>
    </row>
    <row r="2" spans="1:3" x14ac:dyDescent="0.3">
      <c r="A2" s="8" t="s">
        <v>2</v>
      </c>
      <c r="B2" s="4">
        <v>45</v>
      </c>
      <c r="C2" s="9" t="str">
        <f>IF($B2&gt;=40,"Pass","Fail")</f>
        <v>Pass</v>
      </c>
    </row>
    <row r="3" spans="1:3" x14ac:dyDescent="0.3">
      <c r="A3" s="8" t="s">
        <v>3</v>
      </c>
      <c r="B3" s="4">
        <v>72</v>
      </c>
      <c r="C3" s="9" t="str">
        <f t="shared" ref="C3:C6" si="0">IF($B3&gt;=40,"Pass","Fail")</f>
        <v>Pass</v>
      </c>
    </row>
    <row r="4" spans="1:3" x14ac:dyDescent="0.3">
      <c r="A4" s="8" t="s">
        <v>4</v>
      </c>
      <c r="B4" s="4">
        <v>55</v>
      </c>
      <c r="C4" s="9" t="str">
        <f t="shared" si="0"/>
        <v>Pass</v>
      </c>
    </row>
    <row r="5" spans="1:3" x14ac:dyDescent="0.3">
      <c r="A5" s="8" t="s">
        <v>5</v>
      </c>
      <c r="B5" s="4">
        <v>80</v>
      </c>
      <c r="C5" s="9" t="str">
        <f t="shared" si="0"/>
        <v>Pass</v>
      </c>
    </row>
    <row r="6" spans="1:3" ht="15" thickBot="1" x14ac:dyDescent="0.35">
      <c r="A6" s="10" t="s">
        <v>6</v>
      </c>
      <c r="B6" s="11">
        <v>30</v>
      </c>
      <c r="C6" s="12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466A-5BC7-482B-8DD5-5FFF57800B7B}">
  <sheetPr>
    <tabColor rgb="FFFF0000"/>
  </sheetPr>
  <dimension ref="A1:E5"/>
  <sheetViews>
    <sheetView workbookViewId="0">
      <selection activeCell="G17" sqref="G17"/>
    </sheetView>
  </sheetViews>
  <sheetFormatPr defaultRowHeight="14.4" x14ac:dyDescent="0.3"/>
  <cols>
    <col min="1" max="1" width="9.21875" bestFit="1" customWidth="1"/>
    <col min="2" max="2" width="6" bestFit="1" customWidth="1"/>
    <col min="3" max="3" width="10.5546875" bestFit="1" customWidth="1"/>
    <col min="4" max="4" width="16.88671875" bestFit="1" customWidth="1"/>
  </cols>
  <sheetData>
    <row r="1" spans="1:5" x14ac:dyDescent="0.3">
      <c r="A1" s="13" t="s">
        <v>8</v>
      </c>
      <c r="B1" s="14" t="s">
        <v>9</v>
      </c>
      <c r="C1" s="14" t="s">
        <v>51</v>
      </c>
      <c r="D1" s="15" t="s">
        <v>14</v>
      </c>
      <c r="E1" s="2"/>
    </row>
    <row r="2" spans="1:5" x14ac:dyDescent="0.3">
      <c r="A2" s="8" t="s">
        <v>10</v>
      </c>
      <c r="B2" s="3">
        <v>55000</v>
      </c>
      <c r="C2" s="3">
        <v>95</v>
      </c>
      <c r="D2" s="16" t="str">
        <f>IF(AND($B2&gt;40000,$C2&gt;=90),"Eligible for Bonus","Ineligible for Bonus")</f>
        <v>Eligible for Bonus</v>
      </c>
    </row>
    <row r="3" spans="1:5" x14ac:dyDescent="0.3">
      <c r="A3" s="8" t="s">
        <v>11</v>
      </c>
      <c r="B3" s="3">
        <v>65000</v>
      </c>
      <c r="C3" s="3">
        <v>85</v>
      </c>
      <c r="D3" s="16" t="str">
        <f t="shared" ref="D3:D5" si="0">IF(AND($B3&gt;40000,$C3&gt;=90),"Eligible for Bonus","Ineligible for Bonus")</f>
        <v>Ineligible for Bonus</v>
      </c>
    </row>
    <row r="4" spans="1:5" x14ac:dyDescent="0.3">
      <c r="A4" s="8" t="s">
        <v>12</v>
      </c>
      <c r="B4" s="3">
        <v>30000</v>
      </c>
      <c r="C4" s="3">
        <v>90</v>
      </c>
      <c r="D4" s="16" t="str">
        <f t="shared" si="0"/>
        <v>Ineligible for Bonus</v>
      </c>
    </row>
    <row r="5" spans="1:5" ht="15" thickBot="1" x14ac:dyDescent="0.35">
      <c r="A5" s="10" t="s">
        <v>13</v>
      </c>
      <c r="B5" s="17">
        <v>80000</v>
      </c>
      <c r="C5" s="17">
        <v>65</v>
      </c>
      <c r="D5" s="18" t="str">
        <f t="shared" si="0"/>
        <v>Ineligible for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3D4F-47AE-4B43-AF7C-87D7D2CE839A}">
  <sheetPr>
    <tabColor rgb="FFFFC000"/>
  </sheetPr>
  <dimension ref="A1:C6"/>
  <sheetViews>
    <sheetView workbookViewId="0">
      <selection activeCell="C2" sqref="C2"/>
    </sheetView>
  </sheetViews>
  <sheetFormatPr defaultRowHeight="14.4" x14ac:dyDescent="0.3"/>
  <cols>
    <col min="1" max="1" width="12.88671875" bestFit="1" customWidth="1"/>
    <col min="2" max="2" width="6" bestFit="1" customWidth="1"/>
    <col min="3" max="3" width="7" bestFit="1" customWidth="1"/>
  </cols>
  <sheetData>
    <row r="1" spans="1:3" x14ac:dyDescent="0.3">
      <c r="A1" s="5" t="s">
        <v>0</v>
      </c>
      <c r="B1" s="6" t="s">
        <v>1</v>
      </c>
      <c r="C1" s="7" t="s">
        <v>20</v>
      </c>
    </row>
    <row r="2" spans="1:3" x14ac:dyDescent="0.3">
      <c r="A2" s="8" t="s">
        <v>15</v>
      </c>
      <c r="B2" s="4">
        <v>85</v>
      </c>
      <c r="C2" s="9" t="str">
        <f>IF($B2&gt;=90,"A",IF($B2&gt;=75,"B",IF($B2&gt;=50,"C","FAIL")))</f>
        <v>B</v>
      </c>
    </row>
    <row r="3" spans="1:3" x14ac:dyDescent="0.3">
      <c r="A3" s="8" t="s">
        <v>16</v>
      </c>
      <c r="B3" s="4">
        <v>96</v>
      </c>
      <c r="C3" s="9" t="str">
        <f t="shared" ref="C3:C6" si="0">IF($B3&gt;=90,"A",IF($B3&gt;=75,"B",IF($B3&gt;=50,"C","FAIL")))</f>
        <v>A</v>
      </c>
    </row>
    <row r="4" spans="1:3" x14ac:dyDescent="0.3">
      <c r="A4" s="8" t="s">
        <v>17</v>
      </c>
      <c r="B4" s="4">
        <v>57</v>
      </c>
      <c r="C4" s="9" t="str">
        <f t="shared" si="0"/>
        <v>C</v>
      </c>
    </row>
    <row r="5" spans="1:3" x14ac:dyDescent="0.3">
      <c r="A5" s="8" t="s">
        <v>18</v>
      </c>
      <c r="B5" s="4">
        <v>92</v>
      </c>
      <c r="C5" s="9" t="str">
        <f t="shared" si="0"/>
        <v>A</v>
      </c>
    </row>
    <row r="6" spans="1:3" ht="15" thickBot="1" x14ac:dyDescent="0.35">
      <c r="A6" s="10" t="s">
        <v>19</v>
      </c>
      <c r="B6" s="11">
        <v>75</v>
      </c>
      <c r="C6" s="12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B90D-5E8A-4BBD-9798-D4747897A979}">
  <sheetPr>
    <tabColor rgb="FFFFFF00"/>
  </sheetPr>
  <dimension ref="A1:G5"/>
  <sheetViews>
    <sheetView workbookViewId="0">
      <selection activeCell="F13" sqref="F13"/>
    </sheetView>
  </sheetViews>
  <sheetFormatPr defaultRowHeight="14.4" x14ac:dyDescent="0.3"/>
  <cols>
    <col min="3" max="3" width="11" bestFit="1" customWidth="1"/>
    <col min="7" max="7" width="10.5546875" bestFit="1" customWidth="1"/>
  </cols>
  <sheetData>
    <row r="1" spans="1:7" ht="15" thickBot="1" x14ac:dyDescent="0.35">
      <c r="A1" s="32" t="s">
        <v>21</v>
      </c>
      <c r="B1" s="43" t="s">
        <v>22</v>
      </c>
      <c r="C1" s="33" t="s">
        <v>23</v>
      </c>
    </row>
    <row r="2" spans="1:7" ht="15" thickBot="1" x14ac:dyDescent="0.35">
      <c r="A2" s="20" t="s">
        <v>24</v>
      </c>
      <c r="B2" s="19" t="s">
        <v>4</v>
      </c>
      <c r="C2" s="21" t="s">
        <v>30</v>
      </c>
      <c r="E2" s="35" t="s">
        <v>34</v>
      </c>
      <c r="F2" s="36"/>
      <c r="G2" s="25" t="str">
        <f>VLOOKUP("E103", $A2:$C5, 3, FALSE)</f>
        <v>Finance</v>
      </c>
    </row>
    <row r="3" spans="1:7" x14ac:dyDescent="0.3">
      <c r="A3" s="20" t="s">
        <v>25</v>
      </c>
      <c r="B3" s="19" t="s">
        <v>2</v>
      </c>
      <c r="C3" s="21" t="s">
        <v>31</v>
      </c>
    </row>
    <row r="4" spans="1:7" x14ac:dyDescent="0.3">
      <c r="A4" s="20" t="s">
        <v>26</v>
      </c>
      <c r="B4" s="19" t="s">
        <v>28</v>
      </c>
      <c r="C4" s="21" t="s">
        <v>32</v>
      </c>
    </row>
    <row r="5" spans="1:7" ht="15" thickBot="1" x14ac:dyDescent="0.35">
      <c r="A5" s="22" t="s">
        <v>27</v>
      </c>
      <c r="B5" s="23" t="s">
        <v>29</v>
      </c>
      <c r="C5" s="24" t="s">
        <v>33</v>
      </c>
    </row>
  </sheetData>
  <mergeCells count="1"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BB90-0DDF-4E97-91F4-9E43F0BBCF61}">
  <sheetPr>
    <tabColor rgb="FF92D050"/>
  </sheetPr>
  <dimension ref="A1:J5"/>
  <sheetViews>
    <sheetView workbookViewId="0">
      <selection activeCell="J3" sqref="J3"/>
    </sheetView>
  </sheetViews>
  <sheetFormatPr defaultRowHeight="14.4" x14ac:dyDescent="0.3"/>
  <cols>
    <col min="1" max="1" width="12.33203125" bestFit="1" customWidth="1"/>
    <col min="2" max="2" width="15.6640625" bestFit="1" customWidth="1"/>
    <col min="9" max="9" width="15.109375" bestFit="1" customWidth="1"/>
    <col min="10" max="10" width="11.44140625" bestFit="1" customWidth="1"/>
  </cols>
  <sheetData>
    <row r="1" spans="1:10" ht="15" thickBot="1" x14ac:dyDescent="0.35">
      <c r="A1" s="5" t="s">
        <v>35</v>
      </c>
      <c r="B1" s="7" t="s">
        <v>38</v>
      </c>
    </row>
    <row r="2" spans="1:10" x14ac:dyDescent="0.3">
      <c r="A2" s="8">
        <v>0</v>
      </c>
      <c r="B2" s="26">
        <v>0.05</v>
      </c>
      <c r="E2" s="37" t="s">
        <v>37</v>
      </c>
      <c r="F2" s="38"/>
      <c r="G2" s="38"/>
      <c r="H2" s="38"/>
      <c r="I2" s="28" t="s">
        <v>38</v>
      </c>
      <c r="J2" s="29" t="s">
        <v>52</v>
      </c>
    </row>
    <row r="3" spans="1:10" ht="15" thickBot="1" x14ac:dyDescent="0.35">
      <c r="A3" s="8">
        <v>20000</v>
      </c>
      <c r="B3" s="26">
        <v>0.1</v>
      </c>
      <c r="E3" s="39" t="s">
        <v>36</v>
      </c>
      <c r="F3" s="40"/>
      <c r="G3" s="40"/>
      <c r="H3" s="40"/>
      <c r="I3" s="30">
        <f>VLOOKUP(45000,A1:B5,2,TRUE)</f>
        <v>0.1</v>
      </c>
      <c r="J3" s="12">
        <f>45000*I3</f>
        <v>4500</v>
      </c>
    </row>
    <row r="4" spans="1:10" x14ac:dyDescent="0.3">
      <c r="A4" s="8">
        <v>50000</v>
      </c>
      <c r="B4" s="26">
        <v>0.15</v>
      </c>
    </row>
    <row r="5" spans="1:10" ht="15" thickBot="1" x14ac:dyDescent="0.35">
      <c r="A5" s="10">
        <v>80000</v>
      </c>
      <c r="B5" s="27">
        <v>0.2</v>
      </c>
    </row>
  </sheetData>
  <mergeCells count="2">
    <mergeCell ref="E2:H2"/>
    <mergeCell ref="E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FB02-8991-41D0-A4A2-DBA6AA03ACEA}">
  <sheetPr>
    <tabColor rgb="FF00B050"/>
  </sheetPr>
  <dimension ref="A1:D4"/>
  <sheetViews>
    <sheetView workbookViewId="0">
      <selection activeCell="E8" sqref="E8"/>
    </sheetView>
  </sheetViews>
  <sheetFormatPr defaultRowHeight="14.4" x14ac:dyDescent="0.3"/>
  <cols>
    <col min="1" max="1" width="14.109375" bestFit="1" customWidth="1"/>
    <col min="2" max="2" width="10.77734375" bestFit="1" customWidth="1"/>
    <col min="3" max="3" width="12.33203125" bestFit="1" customWidth="1"/>
    <col min="4" max="4" width="12.5546875" bestFit="1" customWidth="1"/>
  </cols>
  <sheetData>
    <row r="1" spans="1:4" x14ac:dyDescent="0.3">
      <c r="A1" s="5" t="s">
        <v>39</v>
      </c>
      <c r="B1" s="6" t="s">
        <v>40</v>
      </c>
      <c r="C1" s="6" t="s">
        <v>41</v>
      </c>
      <c r="D1" s="31" t="s">
        <v>45</v>
      </c>
    </row>
    <row r="2" spans="1:4" x14ac:dyDescent="0.3">
      <c r="A2" s="8" t="s">
        <v>42</v>
      </c>
      <c r="B2" s="3">
        <v>10</v>
      </c>
      <c r="C2" s="3">
        <v>12</v>
      </c>
      <c r="D2" s="9" t="str">
        <f>IF($B2&gt;$C2,"Exceeded","OK")</f>
        <v>OK</v>
      </c>
    </row>
    <row r="3" spans="1:4" x14ac:dyDescent="0.3">
      <c r="A3" s="8" t="s">
        <v>43</v>
      </c>
      <c r="B3" s="3">
        <v>10</v>
      </c>
      <c r="C3" s="3">
        <v>15</v>
      </c>
      <c r="D3" s="9" t="str">
        <f t="shared" ref="D3:D4" si="0">IF($B3&gt;$C3,"Exceeded","OK")</f>
        <v>OK</v>
      </c>
    </row>
    <row r="4" spans="1:4" ht="15" thickBot="1" x14ac:dyDescent="0.35">
      <c r="A4" s="10" t="s">
        <v>44</v>
      </c>
      <c r="B4" s="17">
        <v>8</v>
      </c>
      <c r="C4" s="17">
        <v>12</v>
      </c>
      <c r="D4" s="12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3A8F-E1F7-4EF3-A719-AC1F5A774736}">
  <sheetPr>
    <tabColor rgb="FF00B0F0"/>
  </sheetPr>
  <dimension ref="A1:F5"/>
  <sheetViews>
    <sheetView workbookViewId="0">
      <selection activeCell="G7" sqref="G7"/>
    </sheetView>
  </sheetViews>
  <sheetFormatPr defaultRowHeight="14.4" x14ac:dyDescent="0.3"/>
  <cols>
    <col min="5" max="5" width="15.33203125" customWidth="1"/>
    <col min="7" max="7" width="13" customWidth="1"/>
  </cols>
  <sheetData>
    <row r="1" spans="1:6" ht="15" thickBot="1" x14ac:dyDescent="0.35">
      <c r="A1" s="5" t="s">
        <v>21</v>
      </c>
      <c r="B1" s="7" t="s">
        <v>46</v>
      </c>
    </row>
    <row r="2" spans="1:6" x14ac:dyDescent="0.3">
      <c r="A2" s="8" t="s">
        <v>27</v>
      </c>
      <c r="B2" s="9">
        <v>55000</v>
      </c>
      <c r="D2" s="44" t="s">
        <v>55</v>
      </c>
      <c r="E2" s="45"/>
      <c r="F2" s="46" t="s">
        <v>46</v>
      </c>
    </row>
    <row r="3" spans="1:6" ht="15" thickBot="1" x14ac:dyDescent="0.35">
      <c r="A3" s="8" t="s">
        <v>47</v>
      </c>
      <c r="B3" s="9">
        <v>72000</v>
      </c>
      <c r="D3" s="47" t="s">
        <v>54</v>
      </c>
      <c r="E3" s="48"/>
      <c r="F3" s="49">
        <f>INDEX(B2:B5,MATCH("E105",A2:A5,0))</f>
        <v>72000</v>
      </c>
    </row>
    <row r="4" spans="1:6" x14ac:dyDescent="0.3">
      <c r="A4" s="8" t="s">
        <v>48</v>
      </c>
      <c r="B4" s="9">
        <v>62000</v>
      </c>
    </row>
    <row r="5" spans="1:6" ht="15" thickBot="1" x14ac:dyDescent="0.35">
      <c r="A5" s="10" t="s">
        <v>25</v>
      </c>
      <c r="B5" s="12">
        <v>41000</v>
      </c>
    </row>
  </sheetData>
  <mergeCells count="2">
    <mergeCell ref="D3:E3"/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B1B4-D982-412D-947A-DBE09D83AA8E}">
  <sheetPr>
    <tabColor rgb="FF0070C0"/>
  </sheetPr>
  <dimension ref="A1:F5"/>
  <sheetViews>
    <sheetView tabSelected="1" workbookViewId="0">
      <selection activeCell="L30" sqref="L30"/>
    </sheetView>
  </sheetViews>
  <sheetFormatPr defaultRowHeight="14.4" x14ac:dyDescent="0.3"/>
  <cols>
    <col min="2" max="2" width="10.5546875" bestFit="1" customWidth="1"/>
  </cols>
  <sheetData>
    <row r="1" spans="1:6" ht="15" thickBot="1" x14ac:dyDescent="0.35">
      <c r="A1" s="32" t="s">
        <v>21</v>
      </c>
      <c r="B1" s="33" t="s">
        <v>23</v>
      </c>
    </row>
    <row r="2" spans="1:6" ht="15" thickBot="1" x14ac:dyDescent="0.35">
      <c r="A2" s="20" t="s">
        <v>24</v>
      </c>
      <c r="B2" s="21" t="s">
        <v>31</v>
      </c>
      <c r="D2" s="41" t="s">
        <v>53</v>
      </c>
      <c r="E2" s="42"/>
      <c r="F2" s="34" t="str">
        <f>_xlfn.XLOOKUP("E303",A2:A5,B2:B5,"Not Available",0,1)</f>
        <v>IT</v>
      </c>
    </row>
    <row r="3" spans="1:6" x14ac:dyDescent="0.3">
      <c r="A3" s="20" t="s">
        <v>49</v>
      </c>
      <c r="B3" s="21" t="s">
        <v>30</v>
      </c>
    </row>
    <row r="4" spans="1:6" x14ac:dyDescent="0.3">
      <c r="A4" s="20" t="s">
        <v>48</v>
      </c>
      <c r="B4" s="21" t="s">
        <v>33</v>
      </c>
    </row>
    <row r="5" spans="1:6" ht="15" thickBot="1" x14ac:dyDescent="0.35">
      <c r="A5" s="22" t="s">
        <v>50</v>
      </c>
      <c r="B5" s="24" t="s">
        <v>32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2025-12-08T21:28:00Z</dcterms:created>
  <dcterms:modified xsi:type="dcterms:W3CDTF">2025-12-09T00:42:08Z</dcterms:modified>
</cp:coreProperties>
</file>