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OneDrive\Desktop\"/>
    </mc:Choice>
  </mc:AlternateContent>
  <xr:revisionPtr revIDLastSave="0" documentId="8_{F37E4C45-E284-4CEC-82EC-CEDA50A83AAE}" xr6:coauthVersionLast="47" xr6:coauthVersionMax="47" xr10:uidLastSave="{00000000-0000-0000-0000-000000000000}"/>
  <bookViews>
    <workbookView xWindow="-108" yWindow="-108" windowWidth="23256" windowHeight="13176" activeTab="4" xr2:uid="{459B8D86-1C34-4592-A1B8-7B778B2C6767}"/>
  </bookViews>
  <sheets>
    <sheet name="Q1" sheetId="1" r:id="rId1"/>
    <sheet name="Q2" sheetId="2" r:id="rId2"/>
    <sheet name="Q3" sheetId="3" r:id="rId3"/>
    <sheet name="Q4" sheetId="4" r:id="rId4"/>
    <sheet name="Q5" sheetId="5" r:id="rId5"/>
    <sheet name="Q6" sheetId="6" r:id="rId6"/>
    <sheet name="Q7" sheetId="7" r:id="rId7"/>
    <sheet name="Q8" sheetId="8" r:id="rId8"/>
    <sheet name="Q9" sheetId="9" r:id="rId9"/>
    <sheet name="Q10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6" i="10" l="1"/>
  <c r="G5" i="10"/>
  <c r="D7" i="8"/>
  <c r="D6" i="7"/>
  <c r="B6" i="6"/>
</calcChain>
</file>

<file path=xl/sharedStrings.xml><?xml version="1.0" encoding="utf-8"?>
<sst xmlns="http://schemas.openxmlformats.org/spreadsheetml/2006/main" count="24" uniqueCount="21">
  <si>
    <t>Q6. Using the dataset below, calculate the covariance between X and Y.</t>
  </si>
  <si>
    <t>X</t>
  </si>
  <si>
    <t>Y</t>
  </si>
  <si>
    <t>Covariance</t>
  </si>
  <si>
    <t>Q7. Compute the Pearson correlation coefficient between variables A and B:</t>
  </si>
  <si>
    <t>A</t>
  </si>
  <si>
    <t>B</t>
  </si>
  <si>
    <t>Pearson correlation coefficient</t>
  </si>
  <si>
    <t xml:space="preserve"> Find the correlation coefficient between Height and Weight.</t>
  </si>
  <si>
    <t>Q8. The following table shows heights (in cm) and weights (in kg) of 5 students.</t>
  </si>
  <si>
    <t>Height</t>
  </si>
  <si>
    <t>Weight</t>
  </si>
  <si>
    <t>Correlation Coefficient</t>
  </si>
  <si>
    <t>Q9. Given the dataset below, determine whether there is a positive or negative correlation between X and Y.</t>
  </si>
  <si>
    <t>(No need for exact calculation, just reasoning.)</t>
  </si>
  <si>
    <t xml:space="preserve">Q10. Two investment portfolios have the following returns (%) over 5 years. </t>
  </si>
  <si>
    <t>Compute the covariance and correlation coefficient, and interpret whether the portfolios move together.</t>
  </si>
  <si>
    <t>Year</t>
  </si>
  <si>
    <t>Portfolio A</t>
  </si>
  <si>
    <t>Portfolio B</t>
  </si>
  <si>
    <t>Correlation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</si>
</sst>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2" formatCode="0.000"/>
  </numFmts>
  <fonts count="3" x14ac:knownFonts="1">
    <font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172" fontId="0" fillId="0" borderId="0" xfId="0" applyNumberFormat="1"/>
    <xf numFmtId="2" fontId="0" fillId="0" borderId="0" xfId="0" applyNumberFormat="1"/>
    <xf numFmtId="0" fontId="2" fillId="0" borderId="4" xfId="0" applyFont="1" applyFill="1" applyBorder="1" applyAlignment="1">
      <alignment horizontal="center"/>
    </xf>
    <xf numFmtId="0" fontId="2" fillId="0" borderId="7" xfId="0" applyFont="1" applyFill="1" applyBorder="1" applyAlignment="1">
      <alignment horizontal="center"/>
    </xf>
    <xf numFmtId="0" fontId="1" fillId="0" borderId="0" xfId="0" applyFont="1" applyAlignment="1"/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0" fillId="0" borderId="2" xfId="0" applyBorder="1"/>
    <xf numFmtId="0" fontId="0" fillId="0" borderId="4" xfId="0" applyBorder="1"/>
    <xf numFmtId="0" fontId="0" fillId="0" borderId="5" xfId="0" applyBorder="1"/>
    <xf numFmtId="0" fontId="0" fillId="0" borderId="7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137160</xdr:colOff>
      <xdr:row>0</xdr:row>
      <xdr:rowOff>144780</xdr:rowOff>
    </xdr:from>
    <xdr:to>
      <xdr:col>20</xdr:col>
      <xdr:colOff>411480</xdr:colOff>
      <xdr:row>15</xdr:row>
      <xdr:rowOff>137160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EA60E70-CBF8-DFB9-C603-5D0CD9838D08}"/>
            </a:ext>
          </a:extLst>
        </xdr:cNvPr>
        <xdr:cNvSpPr txBox="1"/>
      </xdr:nvSpPr>
      <xdr:spPr>
        <a:xfrm>
          <a:off x="137160" y="144780"/>
          <a:ext cx="12466320" cy="27355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000" b="1"/>
            <a:t>Q1. Define Covariance and explain how it differs from Correlation in terms of scale and interpretation</a:t>
          </a:r>
        </a:p>
        <a:p>
          <a:endParaRPr lang="en-US" sz="500" b="1"/>
        </a:p>
        <a:p>
          <a:r>
            <a:rPr lang="en-US" sz="2000" b="1"/>
            <a:t>Covariance</a:t>
          </a:r>
          <a:r>
            <a:rPr lang="en-US" sz="2000"/>
            <a:t> measures the directional relationship between two variables, indicating whether they tend to increase or decrease together.</a:t>
          </a:r>
        </a:p>
        <a:p>
          <a:r>
            <a:rPr lang="en-US" sz="2000" b="1"/>
            <a:t>Key Differences:</a:t>
          </a:r>
          <a:endParaRPr lang="en-US" sz="2000"/>
        </a:p>
        <a:p>
          <a:r>
            <a:rPr lang="en-US" sz="2000" b="1"/>
            <a:t>Scale</a:t>
          </a:r>
          <a:r>
            <a:rPr lang="en-US" sz="2000"/>
            <a:t>: Covariance is affected by the units of measurement, while correlation is unitless (always between -1 and +1)</a:t>
          </a:r>
        </a:p>
        <a:p>
          <a:r>
            <a:rPr lang="en-US" sz="2000" b="1"/>
            <a:t>Interpretation</a:t>
          </a:r>
          <a:r>
            <a:rPr lang="en-US" sz="2000"/>
            <a:t>: Covariance values can be any number, making comparison difficult. Correlation is standardized, making it easier to interpret the strength of relationship</a:t>
          </a:r>
        </a:p>
        <a:p>
          <a:r>
            <a:rPr lang="en-US" sz="2000" b="1"/>
            <a:t>Formula relationship</a:t>
          </a:r>
          <a:r>
            <a:rPr lang="en-US" sz="2000"/>
            <a:t>: Correlation = Covariance / (</a:t>
          </a:r>
          <a:r>
            <a:rPr lang="el-GR" sz="2000"/>
            <a:t>σ</a:t>
          </a:r>
          <a:r>
            <a:rPr lang="en-US" sz="2000"/>
            <a:t>X × </a:t>
          </a:r>
          <a:r>
            <a:rPr lang="el-GR" sz="2000"/>
            <a:t>σ</a:t>
          </a:r>
          <a:r>
            <a:rPr lang="en-US" sz="2000"/>
            <a:t>Y)</a:t>
          </a:r>
        </a:p>
        <a:p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20</xdr:col>
      <xdr:colOff>274320</xdr:colOff>
      <xdr:row>7</xdr:row>
      <xdr:rowOff>99060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500DCF0-952E-4576-ACF8-0EAAD1CA39C2}"/>
            </a:ext>
          </a:extLst>
        </xdr:cNvPr>
        <xdr:cNvSpPr txBox="1"/>
      </xdr:nvSpPr>
      <xdr:spPr>
        <a:xfrm>
          <a:off x="0" y="0"/>
          <a:ext cx="12466320" cy="13792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000" b="1"/>
            <a:t>Q2. What does a positive, negative, and zero covariance indicate about the relationship between two variables?</a:t>
          </a:r>
        </a:p>
        <a:p>
          <a:endParaRPr lang="en-US" sz="500" b="1"/>
        </a:p>
        <a:p>
          <a:r>
            <a:rPr lang="en-US" sz="2000" b="1"/>
            <a:t>Positive Covariance</a:t>
          </a:r>
          <a:r>
            <a:rPr lang="en-US" sz="2000"/>
            <a:t>: Variables tend to move in the same direction (when X increases, Y tends to increase)</a:t>
          </a:r>
        </a:p>
        <a:p>
          <a:r>
            <a:rPr lang="en-US" sz="2000" b="1"/>
            <a:t>Negative Covariance</a:t>
          </a:r>
          <a:r>
            <a:rPr lang="en-US" sz="2000"/>
            <a:t>: Variables move in opposite directions (when X increases, Y tends to decrease)</a:t>
          </a:r>
        </a:p>
        <a:p>
          <a:r>
            <a:rPr lang="en-US" sz="2000" b="1"/>
            <a:t>Zero Covariance</a:t>
          </a:r>
          <a:r>
            <a:rPr lang="en-US" sz="2000"/>
            <a:t>: No linear relationship between variables (they move independently)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17</xdr:col>
      <xdr:colOff>350520</xdr:colOff>
      <xdr:row>19</xdr:row>
      <xdr:rowOff>129540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B19B6B4-4969-4DA6-B045-E5C99FB28101}"/>
            </a:ext>
          </a:extLst>
        </xdr:cNvPr>
        <xdr:cNvSpPr txBox="1"/>
      </xdr:nvSpPr>
      <xdr:spPr>
        <a:xfrm>
          <a:off x="0" y="0"/>
          <a:ext cx="10713720" cy="36042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000" b="1"/>
            <a:t>Q3. Discuss the limitations of covariance as a measure of relationship between two variables. Why is correlation preferred in many cases?</a:t>
          </a:r>
        </a:p>
        <a:p>
          <a:endParaRPr lang="en-US" sz="100" b="1"/>
        </a:p>
        <a:p>
          <a:r>
            <a:rPr lang="en-US" sz="2000" b="1"/>
            <a:t>Limitations of Covariance:</a:t>
          </a:r>
          <a:endParaRPr lang="en-US" sz="2000"/>
        </a:p>
        <a:p>
          <a:r>
            <a:rPr lang="en-US" sz="2000"/>
            <a:t>Scale-dependent: Different units produce different covariance values, making comparison impossible</a:t>
          </a:r>
        </a:p>
        <a:p>
          <a:r>
            <a:rPr lang="en-US" sz="2000"/>
            <a:t>Hard to interpret magnitude: No clear threshold for "strong" vs "weak" relationship</a:t>
          </a:r>
        </a:p>
        <a:p>
          <a:r>
            <a:rPr lang="en-US" sz="2000"/>
            <a:t>Affected by variable scales: Larger numbers produce larger covariance values</a:t>
          </a:r>
        </a:p>
        <a:p>
          <a:r>
            <a:rPr lang="en-US" sz="2000" b="1"/>
            <a:t>Why Correlation is Preferred:</a:t>
          </a:r>
          <a:endParaRPr lang="en-US" sz="2000"/>
        </a:p>
        <a:p>
          <a:r>
            <a:rPr lang="en-US" sz="2000"/>
            <a:t>Standardized between -1 and +1</a:t>
          </a:r>
        </a:p>
        <a:p>
          <a:r>
            <a:rPr lang="en-US" sz="2000"/>
            <a:t>Easy to interpret strength of relationship</a:t>
          </a:r>
        </a:p>
        <a:p>
          <a:r>
            <a:rPr lang="en-US" sz="2000"/>
            <a:t>Allows comparison across different datasets</a:t>
          </a:r>
        </a:p>
        <a:p>
          <a:r>
            <a:rPr lang="en-US" sz="2000"/>
            <a:t>Independent of measurement units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17</xdr:col>
      <xdr:colOff>510540</xdr:colOff>
      <xdr:row>30</xdr:row>
      <xdr:rowOff>15240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9E8561E-83D4-4BF2-8284-E1D1CF9C02F1}"/>
            </a:ext>
          </a:extLst>
        </xdr:cNvPr>
        <xdr:cNvSpPr txBox="1"/>
      </xdr:nvSpPr>
      <xdr:spPr>
        <a:xfrm>
          <a:off x="0" y="0"/>
          <a:ext cx="10873740" cy="55016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000" b="1"/>
            <a:t>Q4. Explain the difference between Pearson’s correlation coefficient and Spearman’s rank correlation coefficient. When would you prefer to use Spearman’s correlation?</a:t>
          </a:r>
        </a:p>
        <a:p>
          <a:endParaRPr lang="en-US" sz="500" b="1"/>
        </a:p>
        <a:p>
          <a:r>
            <a:rPr lang="en-US" sz="2000" b="1"/>
            <a:t>Pearson's Correlation:</a:t>
          </a:r>
          <a:endParaRPr lang="en-US" sz="2000"/>
        </a:p>
        <a:p>
          <a:r>
            <a:rPr lang="en-US" sz="2000"/>
            <a:t>* Measures linear relationship</a:t>
          </a:r>
        </a:p>
        <a:p>
          <a:r>
            <a:rPr lang="en-US" sz="2000"/>
            <a:t>* Assumes continuous, normally distributed data</a:t>
          </a:r>
        </a:p>
        <a:p>
          <a:r>
            <a:rPr lang="en-US" sz="2000"/>
            <a:t>* Sensitive to outliers</a:t>
          </a:r>
        </a:p>
        <a:p>
          <a:r>
            <a:rPr lang="en-US" sz="2000"/>
            <a:t>* Uses actual values</a:t>
          </a:r>
        </a:p>
        <a:p>
          <a:r>
            <a:rPr lang="en-US" sz="2000" b="1"/>
            <a:t>Spearman's Rank Correlation:</a:t>
          </a:r>
          <a:endParaRPr lang="en-US" sz="2000"/>
        </a:p>
        <a:p>
          <a:r>
            <a:rPr lang="en-US" sz="2000"/>
            <a:t>* Measures monotonic relationship (not necessarily linear)</a:t>
          </a:r>
        </a:p>
        <a:p>
          <a:r>
            <a:rPr lang="en-US" sz="2000"/>
            <a:t>* Uses ranks instead of actual values</a:t>
          </a:r>
        </a:p>
        <a:p>
          <a:r>
            <a:rPr lang="en-US" sz="2000"/>
            <a:t>* Robust to outliers</a:t>
          </a:r>
        </a:p>
        <a:p>
          <a:r>
            <a:rPr lang="en-US" sz="2000"/>
            <a:t>* Works with ordinal data</a:t>
          </a:r>
        </a:p>
        <a:p>
          <a:r>
            <a:rPr lang="en-US" sz="2000" b="1"/>
            <a:t>When to use Spearman's:</a:t>
          </a:r>
          <a:endParaRPr lang="en-US" sz="2000"/>
        </a:p>
        <a:p>
          <a:r>
            <a:rPr lang="en-US" sz="2000"/>
            <a:t>* Data is ordinal</a:t>
          </a:r>
        </a:p>
        <a:p>
          <a:r>
            <a:rPr lang="en-US" sz="2000"/>
            <a:t>* Relationship is monotonic but not linear</a:t>
          </a:r>
        </a:p>
        <a:p>
          <a:r>
            <a:rPr lang="en-US" sz="2000"/>
            <a:t>* Presence of outliers</a:t>
          </a:r>
        </a:p>
        <a:p>
          <a:r>
            <a:rPr lang="en-US" sz="2000"/>
            <a:t>* Data doesn't meet normality assumptions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17</xdr:col>
      <xdr:colOff>220980</xdr:colOff>
      <xdr:row>21</xdr:row>
      <xdr:rowOff>152400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313F96A-9128-4B93-BA18-F59B4C7E0EF7}"/>
            </a:ext>
          </a:extLst>
        </xdr:cNvPr>
        <xdr:cNvSpPr txBox="1"/>
      </xdr:nvSpPr>
      <xdr:spPr>
        <a:xfrm>
          <a:off x="0" y="0"/>
          <a:ext cx="10584180" cy="39928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000" b="1"/>
            <a:t>Q5. If the correlation coefficient between two variables X and Y is 0.85, interpret this value in context. Can you infer causation from this value? Why or why not?</a:t>
          </a:r>
        </a:p>
        <a:p>
          <a:endParaRPr lang="en-US" sz="500" b="1"/>
        </a:p>
        <a:p>
          <a:r>
            <a:rPr lang="en-US" sz="2000" b="1"/>
            <a:t>Interpretation:</a:t>
          </a:r>
          <a:endParaRPr lang="en-US" sz="2000"/>
        </a:p>
        <a:p>
          <a:r>
            <a:rPr lang="en-US" sz="2000"/>
            <a:t>r = 0.85 indicates a </a:t>
          </a:r>
          <a:r>
            <a:rPr lang="en-US" sz="2000" b="1"/>
            <a:t>strong positive linear relationship</a:t>
          </a:r>
          <a:endParaRPr lang="en-US" sz="2000"/>
        </a:p>
        <a:p>
          <a:r>
            <a:rPr lang="en-US" sz="2000"/>
            <a:t>When X increases, Y tends to increase proportionally</a:t>
          </a:r>
        </a:p>
        <a:p>
          <a:r>
            <a:rPr lang="en-US" sz="2000"/>
            <a:t>About 72% of variance in Y is explained by X (r² = 0.72)</a:t>
          </a:r>
        </a:p>
        <a:p>
          <a:r>
            <a:rPr lang="en-US" sz="2000" b="1"/>
            <a:t>Causation:</a:t>
          </a:r>
          <a:r>
            <a:rPr lang="en-US" sz="2000"/>
            <a:t> </a:t>
          </a:r>
          <a:r>
            <a:rPr lang="en-US" sz="2000" b="1"/>
            <a:t>No, you cannot infer causation</a:t>
          </a:r>
          <a:r>
            <a:rPr lang="en-US" sz="2000"/>
            <a:t> from correlation alone because:</a:t>
          </a:r>
        </a:p>
        <a:p>
          <a:r>
            <a:rPr lang="en-US" sz="2000"/>
            <a:t>Correlation ≠ Causation</a:t>
          </a:r>
        </a:p>
        <a:p>
          <a:r>
            <a:rPr lang="en-US" sz="2000"/>
            <a:t>Could be reverse causation (Y causes X)</a:t>
          </a:r>
        </a:p>
        <a:p>
          <a:r>
            <a:rPr lang="en-US" sz="2000"/>
            <a:t>Could be a confounding variable affecting both</a:t>
          </a:r>
        </a:p>
        <a:p>
          <a:r>
            <a:rPr lang="en-US" sz="2000"/>
            <a:t>Could be spurious correlation</a:t>
          </a:r>
        </a:p>
        <a:p>
          <a:r>
            <a:rPr lang="en-US" sz="2000"/>
            <a:t>Need experimental design or causal analysis to establish causation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20</xdr:col>
      <xdr:colOff>274320</xdr:colOff>
      <xdr:row>25</xdr:row>
      <xdr:rowOff>60960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0812A69-D363-4032-8BF6-F64086BF14C7}"/>
            </a:ext>
          </a:extLst>
        </xdr:cNvPr>
        <xdr:cNvSpPr txBox="1"/>
      </xdr:nvSpPr>
      <xdr:spPr>
        <a:xfrm>
          <a:off x="0" y="1493520"/>
          <a:ext cx="12466320" cy="35356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000" b="1"/>
            <a:t>Reasoning:</a:t>
          </a:r>
        </a:p>
        <a:p>
          <a:r>
            <a:rPr lang="en-US" sz="2000"/>
            <a:t>Looking at the data:</a:t>
          </a:r>
        </a:p>
        <a:p>
          <a:r>
            <a:rPr lang="en-US" sz="2000"/>
            <a:t>When X = 1, Y = 15</a:t>
          </a:r>
        </a:p>
        <a:p>
          <a:r>
            <a:rPr lang="en-US" sz="2000"/>
            <a:t>When X = 2, Y = 12 (X increased, Y decreased)</a:t>
          </a:r>
        </a:p>
        <a:p>
          <a:r>
            <a:rPr lang="en-US" sz="2000"/>
            <a:t>When X = 3, Y = 9 (X increased, Y decreased)</a:t>
          </a:r>
        </a:p>
        <a:p>
          <a:r>
            <a:rPr lang="en-US" sz="2000"/>
            <a:t>When X = 4, Y = 7 (X increased, Y decreased)</a:t>
          </a:r>
        </a:p>
        <a:p>
          <a:r>
            <a:rPr lang="en-US" sz="2000"/>
            <a:t>When X = 5, Y = 3 (X increased, Y decreased)</a:t>
          </a:r>
        </a:p>
        <a:p>
          <a:r>
            <a:rPr lang="en-US" sz="2000" b="1"/>
            <a:t>Clear Pattern:</a:t>
          </a:r>
          <a:r>
            <a:rPr lang="en-US" sz="2000"/>
            <a:t> As X increases consistently from 1 to 5, Y decreases consistently from 15 to 3.</a:t>
          </a:r>
        </a:p>
        <a:p>
          <a:r>
            <a:rPr lang="en-US" sz="2000" b="1"/>
            <a:t>Conclusion: NEGATIVE CORRELATION</a:t>
          </a:r>
          <a:endParaRPr lang="en-US" sz="2000"/>
        </a:p>
        <a:p>
          <a:r>
            <a:rPr lang="en-US" sz="2000"/>
            <a:t>This is a strong inverse relationship - as one variable increases, the other decreases. The variables move in opposite directions.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228600</xdr:colOff>
      <xdr:row>2</xdr:row>
      <xdr:rowOff>91440</xdr:rowOff>
    </xdr:from>
    <xdr:to>
      <xdr:col>21</xdr:col>
      <xdr:colOff>251460</xdr:colOff>
      <xdr:row>11</xdr:row>
      <xdr:rowOff>144780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8C1B038-D0F5-48E3-E737-73711658A8DF}"/>
            </a:ext>
          </a:extLst>
        </xdr:cNvPr>
        <xdr:cNvSpPr txBox="1"/>
      </xdr:nvSpPr>
      <xdr:spPr>
        <a:xfrm>
          <a:off x="4785360" y="746760"/>
          <a:ext cx="8557260" cy="19888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/>
            <a:t>Interpretation:</a:t>
          </a:r>
        </a:p>
        <a:p>
          <a:r>
            <a:rPr lang="en-US" sz="1600"/>
            <a:t>The portfolios have a </a:t>
          </a:r>
          <a:r>
            <a:rPr lang="en-US" sz="1600" b="1"/>
            <a:t>very strong positive correlation (0.986)</a:t>
          </a:r>
          <a:r>
            <a:rPr lang="en-US" sz="1600"/>
            <a:t>. This means:</a:t>
          </a:r>
        </a:p>
        <a:p>
          <a:r>
            <a:rPr lang="en-US" sz="1600"/>
            <a:t>When Portfolio A performs well, Portfolio B also tends to perform well</a:t>
          </a:r>
        </a:p>
        <a:p>
          <a:r>
            <a:rPr lang="en-US" sz="1600"/>
            <a:t>When Portfolio A performs poorly, Portfolio B also tends to perform poorly</a:t>
          </a:r>
        </a:p>
        <a:p>
          <a:r>
            <a:rPr lang="en-US" sz="1600"/>
            <a:t>The portfolios </a:t>
          </a:r>
          <a:r>
            <a:rPr lang="en-US" sz="1600" b="1"/>
            <a:t>move together almost perfectly</a:t>
          </a:r>
          <a:r>
            <a:rPr lang="en-US" sz="1600"/>
            <a:t> in the same direction</a:t>
          </a:r>
        </a:p>
        <a:p>
          <a:r>
            <a:rPr lang="en-US" sz="1600"/>
            <a:t>This is </a:t>
          </a:r>
          <a:r>
            <a:rPr lang="en-US" sz="1600" b="1"/>
            <a:t>NOT ideal for diversification</a:t>
          </a:r>
          <a:r>
            <a:rPr lang="en-US" sz="1600"/>
            <a:t> - both portfolios are affected similarly by market conditions</a:t>
          </a:r>
        </a:p>
        <a:p>
          <a:r>
            <a:rPr lang="en-US" sz="1600"/>
            <a:t>An investor holding both would have high risk because losses in one portfolio would likely coincide with losses in the other</a:t>
          </a:r>
        </a:p>
        <a:p>
          <a:r>
            <a:rPr lang="en-US" sz="1600"/>
            <a:t>For better risk management, investors typically seek portfolios with low or negative correlation</a:t>
          </a:r>
        </a:p>
        <a:p>
          <a:endParaRPr lang="en-US" sz="16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82131-06CE-4B77-9BB7-9ABBA0F5B3B3}">
  <dimension ref="A1"/>
  <sheetViews>
    <sheetView workbookViewId="0"/>
  </sheetViews>
  <sheetFormatPr defaultRowHeight="14.4" x14ac:dyDescent="0.3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852A9-B63F-4608-8EFE-D1A15ACF88F0}">
  <dimension ref="A1"/>
  <sheetViews>
    <sheetView workbookViewId="0"/>
  </sheetViews>
  <sheetFormatPr defaultRowHeight="14.4" x14ac:dyDescent="0.3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31BB8-6916-4D0F-9916-6B597A82B0DB}">
  <dimension ref="A1"/>
  <sheetViews>
    <sheetView workbookViewId="0"/>
  </sheetViews>
  <sheetFormatPr defaultRowHeight="14.4" x14ac:dyDescent="0.3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3BEE0-DEC4-43C1-AE1F-ABB16BBB2F08}">
  <dimension ref="A1"/>
  <sheetViews>
    <sheetView workbookViewId="0"/>
  </sheetViews>
  <sheetFormatPr defaultRowHeight="14.4" x14ac:dyDescent="0.3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7475D-07D9-4780-80B3-C73DF3911E50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D1903-EA70-4CCA-995A-8DCBC1361F68}">
  <dimension ref="A1:L6"/>
  <sheetViews>
    <sheetView workbookViewId="0">
      <selection activeCell="B3" sqref="B3:F4"/>
    </sheetView>
  </sheetViews>
  <sheetFormatPr defaultRowHeight="14.4" x14ac:dyDescent="0.3"/>
  <cols>
    <col min="1" max="1" width="10.109375" bestFit="1" customWidth="1"/>
    <col min="2" max="2" width="9.5546875" bestFit="1" customWidth="1"/>
  </cols>
  <sheetData>
    <row r="1" spans="1:12" ht="25.8" x14ac:dyDescent="0.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ht="15" thickBot="1" x14ac:dyDescent="0.35"/>
    <row r="3" spans="1:12" ht="18" x14ac:dyDescent="0.35">
      <c r="B3" s="4" t="s">
        <v>1</v>
      </c>
      <c r="C3" s="5">
        <v>2</v>
      </c>
      <c r="D3" s="5">
        <v>4</v>
      </c>
      <c r="E3" s="5">
        <v>6</v>
      </c>
      <c r="F3" s="6">
        <v>8</v>
      </c>
    </row>
    <row r="4" spans="1:12" ht="18.600000000000001" thickBot="1" x14ac:dyDescent="0.4">
      <c r="B4" s="7" t="s">
        <v>2</v>
      </c>
      <c r="C4" s="8">
        <v>3</v>
      </c>
      <c r="D4" s="8">
        <v>7</v>
      </c>
      <c r="E4" s="8">
        <v>5</v>
      </c>
      <c r="F4" s="9">
        <v>10</v>
      </c>
    </row>
    <row r="6" spans="1:12" x14ac:dyDescent="0.3">
      <c r="A6" t="s">
        <v>3</v>
      </c>
      <c r="B6" s="11">
        <f>_xlfn.COVARIANCE.S(C3:F3,C4:F4)</f>
        <v>6.333333333333333</v>
      </c>
    </row>
  </sheetData>
  <mergeCells count="1">
    <mergeCell ref="A1:L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3B7CF-49A8-4D30-B65C-7320DDD15D0B}">
  <dimension ref="A1:G6"/>
  <sheetViews>
    <sheetView workbookViewId="0">
      <selection activeCell="B3" sqref="B3:G4"/>
    </sheetView>
  </sheetViews>
  <sheetFormatPr defaultRowHeight="14.4" x14ac:dyDescent="0.3"/>
  <sheetData>
    <row r="1" spans="1:7" ht="25.8" x14ac:dyDescent="0.5">
      <c r="A1" s="1" t="s">
        <v>4</v>
      </c>
    </row>
    <row r="2" spans="1:7" ht="15" thickBot="1" x14ac:dyDescent="0.35"/>
    <row r="3" spans="1:7" ht="18" x14ac:dyDescent="0.35">
      <c r="B3" s="4" t="s">
        <v>5</v>
      </c>
      <c r="C3" s="5">
        <v>10</v>
      </c>
      <c r="D3" s="5">
        <v>20</v>
      </c>
      <c r="E3" s="5">
        <v>30</v>
      </c>
      <c r="F3" s="5">
        <v>40</v>
      </c>
      <c r="G3" s="12">
        <v>50</v>
      </c>
    </row>
    <row r="4" spans="1:7" ht="18.600000000000001" thickBot="1" x14ac:dyDescent="0.4">
      <c r="B4" s="7" t="s">
        <v>6</v>
      </c>
      <c r="C4" s="8">
        <v>8</v>
      </c>
      <c r="D4" s="8">
        <v>14</v>
      </c>
      <c r="E4" s="8">
        <v>18</v>
      </c>
      <c r="F4" s="8">
        <v>24</v>
      </c>
      <c r="G4" s="13">
        <v>28</v>
      </c>
    </row>
    <row r="6" spans="1:7" x14ac:dyDescent="0.3">
      <c r="A6" t="s">
        <v>7</v>
      </c>
      <c r="D6" s="10">
        <f>PEARSON(C3:G3,C4:G4)</f>
        <v>0.99760860558452769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C5D59-FF35-419D-89DE-81D48870F69A}">
  <dimension ref="A1:G7"/>
  <sheetViews>
    <sheetView workbookViewId="0">
      <selection activeCell="B4" sqref="B4:G5"/>
    </sheetView>
  </sheetViews>
  <sheetFormatPr defaultRowHeight="14.4" x14ac:dyDescent="0.3"/>
  <sheetData>
    <row r="1" spans="1:7" ht="25.8" x14ac:dyDescent="0.5">
      <c r="A1" s="14" t="s">
        <v>9</v>
      </c>
    </row>
    <row r="2" spans="1:7" ht="25.8" x14ac:dyDescent="0.5">
      <c r="A2" s="1" t="s">
        <v>8</v>
      </c>
    </row>
    <row r="3" spans="1:7" ht="15" thickBot="1" x14ac:dyDescent="0.35"/>
    <row r="4" spans="1:7" ht="18" x14ac:dyDescent="0.35">
      <c r="B4" s="4" t="s">
        <v>10</v>
      </c>
      <c r="C4" s="5">
        <v>150</v>
      </c>
      <c r="D4" s="5">
        <v>160</v>
      </c>
      <c r="E4" s="5">
        <v>165</v>
      </c>
      <c r="F4" s="5">
        <v>170</v>
      </c>
      <c r="G4" s="12">
        <v>180</v>
      </c>
    </row>
    <row r="5" spans="1:7" ht="18.600000000000001" thickBot="1" x14ac:dyDescent="0.4">
      <c r="B5" s="7" t="s">
        <v>11</v>
      </c>
      <c r="C5" s="8">
        <v>50</v>
      </c>
      <c r="D5" s="8">
        <v>55</v>
      </c>
      <c r="E5" s="8">
        <v>58</v>
      </c>
      <c r="F5" s="8">
        <v>62</v>
      </c>
      <c r="G5" s="13">
        <v>70</v>
      </c>
    </row>
    <row r="7" spans="1:7" x14ac:dyDescent="0.3">
      <c r="A7" t="s">
        <v>12</v>
      </c>
      <c r="D7" s="11">
        <f>CORREL(C4:G4,C5:G5)</f>
        <v>0.99218437024647965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C486B-35F8-42D2-8935-38DBA4A5B971}">
  <dimension ref="A1:G5"/>
  <sheetViews>
    <sheetView workbookViewId="0">
      <selection activeCell="B4" sqref="B4:G5"/>
    </sheetView>
  </sheetViews>
  <sheetFormatPr defaultRowHeight="14.4" x14ac:dyDescent="0.3"/>
  <sheetData>
    <row r="1" spans="1:7" ht="25.8" x14ac:dyDescent="0.5">
      <c r="A1" s="1" t="s">
        <v>13</v>
      </c>
    </row>
    <row r="2" spans="1:7" ht="25.8" x14ac:dyDescent="0.5">
      <c r="A2" s="1" t="s">
        <v>14</v>
      </c>
    </row>
    <row r="3" spans="1:7" ht="15" thickBot="1" x14ac:dyDescent="0.35"/>
    <row r="4" spans="1:7" ht="18" x14ac:dyDescent="0.35">
      <c r="B4" s="4" t="s">
        <v>1</v>
      </c>
      <c r="C4" s="5">
        <v>1</v>
      </c>
      <c r="D4" s="5">
        <v>2</v>
      </c>
      <c r="E4" s="5">
        <v>3</v>
      </c>
      <c r="F4" s="5">
        <v>4</v>
      </c>
      <c r="G4" s="12">
        <v>5</v>
      </c>
    </row>
    <row r="5" spans="1:7" ht="18.600000000000001" thickBot="1" x14ac:dyDescent="0.4">
      <c r="B5" s="7" t="s">
        <v>2</v>
      </c>
      <c r="C5" s="8">
        <v>15</v>
      </c>
      <c r="D5" s="8">
        <v>12</v>
      </c>
      <c r="E5" s="8">
        <v>9</v>
      </c>
      <c r="F5" s="8">
        <v>7</v>
      </c>
      <c r="G5" s="13">
        <v>3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5D12F-2495-45F9-B559-E860015CAE7C}">
  <dimension ref="A1:G9"/>
  <sheetViews>
    <sheetView workbookViewId="0">
      <selection activeCell="G9" sqref="G9"/>
    </sheetView>
  </sheetViews>
  <sheetFormatPr defaultRowHeight="14.4" x14ac:dyDescent="0.3"/>
  <cols>
    <col min="2" max="2" width="5.5546875" bestFit="1" customWidth="1"/>
    <col min="3" max="4" width="12" bestFit="1" customWidth="1"/>
    <col min="6" max="6" width="10.21875" bestFit="1" customWidth="1"/>
  </cols>
  <sheetData>
    <row r="1" spans="1:7" ht="25.8" x14ac:dyDescent="0.5">
      <c r="A1" s="1" t="s">
        <v>15</v>
      </c>
    </row>
    <row r="2" spans="1:7" ht="25.8" x14ac:dyDescent="0.5">
      <c r="A2" s="1" t="s">
        <v>16</v>
      </c>
    </row>
    <row r="3" spans="1:7" ht="15" thickBot="1" x14ac:dyDescent="0.35"/>
    <row r="4" spans="1:7" ht="18.600000000000001" thickBot="1" x14ac:dyDescent="0.4">
      <c r="B4" s="4" t="s">
        <v>17</v>
      </c>
      <c r="C4" s="5" t="s">
        <v>18</v>
      </c>
      <c r="D4" s="6" t="s">
        <v>19</v>
      </c>
    </row>
    <row r="5" spans="1:7" ht="18" x14ac:dyDescent="0.35">
      <c r="B5" s="15">
        <v>1</v>
      </c>
      <c r="C5" s="3">
        <v>8</v>
      </c>
      <c r="D5" s="16">
        <v>6</v>
      </c>
      <c r="F5" s="17" t="s">
        <v>3</v>
      </c>
      <c r="G5" s="18">
        <f>_xlfn.COVARIANCE.S(C5:C9,D5:D9)</f>
        <v>3</v>
      </c>
    </row>
    <row r="6" spans="1:7" ht="18.600000000000001" thickBot="1" x14ac:dyDescent="0.4">
      <c r="B6" s="15">
        <v>2</v>
      </c>
      <c r="C6" s="3">
        <v>10</v>
      </c>
      <c r="D6" s="16">
        <v>9</v>
      </c>
      <c r="F6" s="19" t="s">
        <v>20</v>
      </c>
      <c r="G6" s="20">
        <f>CORREL(C5:C9,D5:D9)</f>
        <v>0.98639392383214364</v>
      </c>
    </row>
    <row r="7" spans="1:7" ht="18" x14ac:dyDescent="0.35">
      <c r="B7" s="15">
        <v>3</v>
      </c>
      <c r="C7" s="3">
        <v>12</v>
      </c>
      <c r="D7" s="16">
        <v>11</v>
      </c>
    </row>
    <row r="8" spans="1:7" ht="18" x14ac:dyDescent="0.35">
      <c r="B8" s="15">
        <v>4</v>
      </c>
      <c r="C8" s="3">
        <v>9</v>
      </c>
      <c r="D8" s="16">
        <v>8</v>
      </c>
    </row>
    <row r="9" spans="1:7" ht="18.600000000000001" thickBot="1" x14ac:dyDescent="0.4">
      <c r="B9" s="7">
        <v>5</v>
      </c>
      <c r="C9" s="8">
        <v>11</v>
      </c>
      <c r="D9" s="9">
        <v>10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Q1</vt:lpstr>
      <vt:lpstr>Q2</vt:lpstr>
      <vt:lpstr>Q3</vt:lpstr>
      <vt:lpstr>Q4</vt:lpstr>
      <vt:lpstr>Q5</vt:lpstr>
      <vt:lpstr>Q6</vt:lpstr>
      <vt:lpstr>Q7</vt:lpstr>
      <vt:lpstr>Q8</vt:lpstr>
      <vt:lpstr>Q9</vt:lpstr>
      <vt:lpstr>Q10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Ayush Singh</dc:creator>
  <cp:lastModifiedBy>Ayush Singh</cp:lastModifiedBy>
  <dcterms:created xsi:type="dcterms:W3CDTF">2026-01-19T21:04:57Z</dcterms:created>
  <dcterms:modified xsi:type="dcterms:W3CDTF">2026-01-19T21:45:15Z</dcterms:modified>
</cp:coreProperties>
</file>