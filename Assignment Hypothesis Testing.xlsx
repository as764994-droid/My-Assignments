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xr:revisionPtr revIDLastSave="0" documentId="8_{E9AB4673-6166-4EA7-AAD3-9488D43DFB7B}" xr6:coauthVersionLast="47" xr6:coauthVersionMax="47" xr10:uidLastSave="{00000000-0000-0000-0000-000000000000}"/>
  <bookViews>
    <workbookView xWindow="-108" yWindow="-108" windowWidth="23256" windowHeight="13176" firstSheet="1" activeTab="7" xr2:uid="{33CEAAC4-92ED-4094-8625-83676EF9E5CA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6" i="8" l="1"/>
  <c r="H25" i="8"/>
  <c r="H24" i="8"/>
  <c r="H23" i="8"/>
  <c r="H19" i="8"/>
  <c r="H18" i="8"/>
  <c r="H17" i="8"/>
  <c r="H16" i="8"/>
  <c r="H21" i="8" s="1"/>
  <c r="G10" i="7"/>
  <c r="D4" i="7"/>
  <c r="G9" i="7"/>
  <c r="G8" i="7"/>
  <c r="G7" i="7"/>
  <c r="G6" i="7"/>
  <c r="G4" i="7"/>
  <c r="G3" i="7"/>
  <c r="D5" i="7"/>
  <c r="D6" i="7"/>
  <c r="D7" i="7"/>
  <c r="D8" i="7"/>
  <c r="D9" i="7"/>
  <c r="B19" i="5"/>
  <c r="B18" i="5"/>
  <c r="B17" i="5"/>
  <c r="B16" i="5"/>
  <c r="B15" i="5"/>
  <c r="B14" i="5"/>
</calcChain>
</file>

<file path=xl/sharedStrings.xml><?xml version="1.0" encoding="utf-8"?>
<sst xmlns="http://schemas.openxmlformats.org/spreadsheetml/2006/main" count="51" uniqueCount="40">
  <si>
    <t>Sample Average</t>
  </si>
  <si>
    <t>Company's Claim</t>
  </si>
  <si>
    <t>Variation (SD)</t>
  </si>
  <si>
    <t>How many complaints</t>
  </si>
  <si>
    <t xml:space="preserve">Mistake tolerance </t>
  </si>
  <si>
    <t xml:space="preserve">Standard Error  </t>
  </si>
  <si>
    <t>Test Score (t-stat)</t>
  </si>
  <si>
    <t>Freedom degrees</t>
  </si>
  <si>
    <t>Critical Number</t>
  </si>
  <si>
    <t>P-value</t>
  </si>
  <si>
    <t xml:space="preserve">Final Decision </t>
  </si>
  <si>
    <t>Question 7: The productivity of 6 employees was measured before and after a training program</t>
  </si>
  <si>
    <t>Employee</t>
  </si>
  <si>
    <t>Before</t>
  </si>
  <si>
    <t>After</t>
  </si>
  <si>
    <t>Improvement</t>
  </si>
  <si>
    <t>Average Improvement</t>
  </si>
  <si>
    <t>Variation</t>
  </si>
  <si>
    <t>How many employees</t>
  </si>
  <si>
    <t>Standard Error</t>
  </si>
  <si>
    <t>Test Score</t>
  </si>
  <si>
    <t>Degrees of freedom</t>
  </si>
  <si>
    <t>Decision</t>
  </si>
  <si>
    <t>Question 8: A company wants to test if product preference is independent of gender</t>
  </si>
  <si>
    <t>GENDER</t>
  </si>
  <si>
    <t>PRODUCT A</t>
  </si>
  <si>
    <t>PRODUCT B</t>
  </si>
  <si>
    <t>TOTAL</t>
  </si>
  <si>
    <t>MALE</t>
  </si>
  <si>
    <t>FEMALE</t>
  </si>
  <si>
    <t>OBSERVED (What Actually Happened):</t>
  </si>
  <si>
    <t>EXPECTED (If gender didn't matter):</t>
  </si>
  <si>
    <t>INDIVIDUAL CHI-SQUARE COMPONENTS:</t>
  </si>
  <si>
    <t>Male, Prod A</t>
  </si>
  <si>
    <t>Male, Prod B</t>
  </si>
  <si>
    <t>Female, Prod A</t>
  </si>
  <si>
    <t>Female, Prod B</t>
  </si>
  <si>
    <t>Total Chi-Square</t>
  </si>
  <si>
    <t>Degrees of Freedom</t>
  </si>
  <si>
    <t>Critical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</si>
</sst>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7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15240</xdr:rowOff>
    </xdr:from>
    <xdr:to>
      <xdr:col>16</xdr:col>
      <xdr:colOff>312420</xdr:colOff>
      <xdr:row>19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6E2F9B2-C91E-A9D9-A415-7483E26B0E78}"/>
            </a:ext>
          </a:extLst>
        </xdr:cNvPr>
        <xdr:cNvSpPr txBox="1"/>
      </xdr:nvSpPr>
      <xdr:spPr>
        <a:xfrm>
          <a:off x="22860" y="15240"/>
          <a:ext cx="10043160" cy="3589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Question 1: What is a null hypothesis (H₀) and why is it important?</a:t>
          </a:r>
        </a:p>
        <a:p>
          <a:endParaRPr lang="en-US" sz="2000" b="1"/>
        </a:p>
        <a:p>
          <a:r>
            <a:rPr lang="en-US" sz="2000" b="1"/>
            <a:t>Answer:</a:t>
          </a:r>
          <a:r>
            <a:rPr lang="en-US" sz="2000"/>
            <a:t> The null hypothesis (H₀) is basically our "default assumption" - it says "nothing special is happening" or "there's no difference."</a:t>
          </a:r>
        </a:p>
        <a:p>
          <a:r>
            <a:rPr lang="en-US" sz="2000" b="1"/>
            <a:t>Example:</a:t>
          </a:r>
          <a:r>
            <a:rPr lang="en-US" sz="2000"/>
            <a:t> If you're testing a new medicine, H₀ says "this medicine doesn't work any better than a sugar pill."</a:t>
          </a:r>
        </a:p>
        <a:p>
          <a:endParaRPr lang="en-US" sz="2000"/>
        </a:p>
        <a:p>
          <a:r>
            <a:rPr lang="en-US" sz="2000" b="1"/>
            <a:t>Why is it important?</a:t>
          </a:r>
          <a:endParaRPr lang="en-US" sz="2000"/>
        </a:p>
        <a:p>
          <a:r>
            <a:rPr lang="en-US" sz="2000" b="1"/>
            <a:t>It gives us a starting point </a:t>
          </a:r>
          <a:r>
            <a:rPr lang="en-US" sz="2000"/>
            <a:t>- we assume nothing changed until we have proof</a:t>
          </a:r>
        </a:p>
        <a:p>
          <a:r>
            <a:rPr lang="en-US" sz="2000" b="1"/>
            <a:t>It's like a court trial </a:t>
          </a:r>
          <a:r>
            <a:rPr lang="en-US" sz="2000"/>
            <a:t>- we assume "innocent until proven guilty"</a:t>
          </a:r>
        </a:p>
        <a:p>
          <a:r>
            <a:rPr lang="en-US" sz="2000"/>
            <a:t>It helps us make </a:t>
          </a:r>
          <a:r>
            <a:rPr lang="en-US" sz="2000" b="1"/>
            <a:t>fair, unbiased decisions </a:t>
          </a:r>
          <a:r>
            <a:rPr lang="en-US" sz="2000"/>
            <a:t>based on data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289560</xdr:colOff>
      <xdr:row>18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CCE90-14C5-468F-B98C-A91B8DABFD4D}"/>
            </a:ext>
          </a:extLst>
        </xdr:cNvPr>
        <xdr:cNvSpPr txBox="1"/>
      </xdr:nvSpPr>
      <xdr:spPr>
        <a:xfrm>
          <a:off x="0" y="0"/>
          <a:ext cx="10043160" cy="3322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Question 2: What does significance level (</a:t>
          </a:r>
          <a:r>
            <a:rPr lang="el-GR" sz="2000" b="1"/>
            <a:t>α) </a:t>
          </a:r>
          <a:r>
            <a:rPr lang="en-US" sz="2000" b="1"/>
            <a:t>mean?</a:t>
          </a:r>
        </a:p>
        <a:p>
          <a:endParaRPr lang="en-US" sz="2000" b="1"/>
        </a:p>
        <a:p>
          <a:r>
            <a:rPr lang="en-US" sz="2000" b="1"/>
            <a:t>Simple Answer:</a:t>
          </a:r>
          <a:r>
            <a:rPr lang="en-US" sz="2000"/>
            <a:t> Think of </a:t>
          </a:r>
          <a:r>
            <a:rPr lang="el-GR" sz="2000"/>
            <a:t>α </a:t>
          </a:r>
          <a:r>
            <a:rPr lang="en-US" sz="2000"/>
            <a:t>as your "mistake tolerance level." It's usually set at 0.05 (or 5%).</a:t>
          </a:r>
        </a:p>
        <a:p>
          <a:r>
            <a:rPr lang="en-US" sz="2000" b="1"/>
            <a:t>What does </a:t>
          </a:r>
          <a:r>
            <a:rPr lang="el-GR" sz="2000" b="1"/>
            <a:t>α = 0.05 </a:t>
          </a:r>
          <a:r>
            <a:rPr lang="en-US" sz="2000" b="1"/>
            <a:t>mean?</a:t>
          </a:r>
          <a:r>
            <a:rPr lang="en-US" sz="2000"/>
            <a:t> You're okay with being wrong 5 times out of 100. It's like saying "I'm 95% confident in my decision."</a:t>
          </a:r>
        </a:p>
        <a:p>
          <a:endParaRPr lang="en-US" sz="100"/>
        </a:p>
        <a:p>
          <a:r>
            <a:rPr lang="en-US" sz="2000" b="1"/>
            <a:t>How do we use it?</a:t>
          </a:r>
          <a:endParaRPr lang="en-US" sz="2000"/>
        </a:p>
        <a:p>
          <a:r>
            <a:rPr lang="en-US" sz="2000"/>
            <a:t>If your p-value is </a:t>
          </a:r>
          <a:r>
            <a:rPr lang="en-US" sz="2000" b="1"/>
            <a:t>less than</a:t>
          </a:r>
          <a:r>
            <a:rPr lang="en-US" sz="2000"/>
            <a:t> </a:t>
          </a:r>
          <a:r>
            <a:rPr lang="el-GR" sz="2000"/>
            <a:t>α → </a:t>
          </a:r>
          <a:r>
            <a:rPr lang="en-US" sz="2000"/>
            <a:t>Reject H₀ (you found something!)</a:t>
          </a:r>
        </a:p>
        <a:p>
          <a:r>
            <a:rPr lang="en-US" sz="2000"/>
            <a:t>If your p-value is </a:t>
          </a:r>
          <a:r>
            <a:rPr lang="en-US" sz="2000" b="1"/>
            <a:t>greater than</a:t>
          </a:r>
          <a:r>
            <a:rPr lang="en-US" sz="2000"/>
            <a:t> </a:t>
          </a:r>
          <a:r>
            <a:rPr lang="el-GR" sz="2000"/>
            <a:t>α → </a:t>
          </a:r>
          <a:r>
            <a:rPr lang="en-US" sz="2000"/>
            <a:t>Don't reject H₀ (not enough evidence)</a:t>
          </a:r>
        </a:p>
        <a:p>
          <a:r>
            <a:rPr lang="en-US" sz="2000" b="1"/>
            <a:t>Real-life example:</a:t>
          </a:r>
          <a:r>
            <a:rPr lang="en-US" sz="2000"/>
            <a:t> If you're testing if a coin is fair, </a:t>
          </a:r>
          <a:r>
            <a:rPr lang="el-GR" sz="2000"/>
            <a:t>α = 0.05 </a:t>
          </a:r>
          <a:r>
            <a:rPr lang="en-US" sz="2000"/>
            <a:t>means you'll only call it unfair if you're really, really sure (95% sure).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289560</xdr:colOff>
      <xdr:row>23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03CBEF-4C9E-4A1D-AA1E-B154413A65E3}"/>
            </a:ext>
          </a:extLst>
        </xdr:cNvPr>
        <xdr:cNvSpPr txBox="1"/>
      </xdr:nvSpPr>
      <xdr:spPr>
        <a:xfrm>
          <a:off x="0" y="0"/>
          <a:ext cx="10043160" cy="426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Question 3: What's the difference between Type I and Type II errors?</a:t>
          </a:r>
        </a:p>
        <a:p>
          <a:endParaRPr lang="en-US" sz="500" b="1"/>
        </a:p>
        <a:p>
          <a:r>
            <a:rPr lang="en-US" sz="2000" b="1"/>
            <a:t>Simple Answer:</a:t>
          </a:r>
          <a:endParaRPr lang="en-US" sz="2000"/>
        </a:p>
        <a:p>
          <a:r>
            <a:rPr lang="en-US" sz="2000" b="1"/>
            <a:t>Type I Error </a:t>
          </a:r>
        </a:p>
        <a:p>
          <a:r>
            <a:rPr lang="en-US" sz="2000"/>
            <a:t>You think something happened, but it didn't</a:t>
          </a:r>
        </a:p>
        <a:p>
          <a:r>
            <a:rPr lang="en-US" sz="2000"/>
            <a:t>Like a fire alarm going off when there's no fire</a:t>
          </a:r>
        </a:p>
        <a:p>
          <a:r>
            <a:rPr lang="en-US" sz="2000"/>
            <a:t>Example: Doctor says you're sick when you're actually healthy</a:t>
          </a:r>
        </a:p>
        <a:p>
          <a:r>
            <a:rPr lang="en-US" sz="2000" b="1"/>
            <a:t>Type II Error </a:t>
          </a:r>
        </a:p>
        <a:p>
          <a:r>
            <a:rPr lang="en-US" sz="2000"/>
            <a:t>Something happened, but you missed it</a:t>
          </a:r>
        </a:p>
        <a:p>
          <a:r>
            <a:rPr lang="en-US" sz="2000"/>
            <a:t>Like sleeping through your alarm</a:t>
          </a:r>
        </a:p>
        <a:p>
          <a:r>
            <a:rPr lang="en-US" sz="2000"/>
            <a:t>Example: Doctor says you're healthy when you're actually sick</a:t>
          </a:r>
        </a:p>
        <a:p>
          <a:r>
            <a:rPr lang="en-US" sz="2000" b="1"/>
            <a:t>Easy way to remember:</a:t>
          </a:r>
          <a:endParaRPr lang="en-US" sz="2000"/>
        </a:p>
        <a:p>
          <a:r>
            <a:rPr lang="en-US" sz="2000"/>
            <a:t>Type I = Crying wolf (false positive)</a:t>
          </a:r>
        </a:p>
        <a:p>
          <a:r>
            <a:rPr lang="en-US" sz="2000"/>
            <a:t>Type II = Missing the wolf (false negative)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289560</xdr:colOff>
      <xdr:row>23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77EBA2-3E68-4437-B99B-2C8E530E8219}"/>
            </a:ext>
          </a:extLst>
        </xdr:cNvPr>
        <xdr:cNvSpPr txBox="1"/>
      </xdr:nvSpPr>
      <xdr:spPr>
        <a:xfrm>
          <a:off x="0" y="0"/>
          <a:ext cx="10043160" cy="426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Question 4: One-tailed vs Two-tailed tests - What's the difference?</a:t>
          </a:r>
        </a:p>
        <a:p>
          <a:r>
            <a:rPr lang="en-US" sz="2000" b="1"/>
            <a:t>Simple Answer:</a:t>
          </a:r>
          <a:endParaRPr lang="en-US" sz="2000"/>
        </a:p>
        <a:p>
          <a:r>
            <a:rPr lang="en-US" sz="2000" b="1"/>
            <a:t>Two-tailed test:</a:t>
          </a:r>
          <a:r>
            <a:rPr lang="en-US" sz="2000"/>
            <a:t> "Is it DIFFERENT?"</a:t>
          </a:r>
        </a:p>
        <a:p>
          <a:r>
            <a:rPr lang="en-US" sz="2000"/>
            <a:t>You're checking if something is either higher OR lower</a:t>
          </a:r>
        </a:p>
        <a:p>
          <a:r>
            <a:rPr lang="en-US" sz="2000"/>
            <a:t>You don't care which direction</a:t>
          </a:r>
        </a:p>
        <a:p>
          <a:r>
            <a:rPr lang="en-US" sz="2000" b="1"/>
            <a:t>Example:</a:t>
          </a:r>
          <a:r>
            <a:rPr lang="en-US" sz="2000"/>
            <a:t> "Is the average height of students different from 170 cm?" (could be taller or shorter)</a:t>
          </a:r>
        </a:p>
        <a:p>
          <a:r>
            <a:rPr lang="en-US" sz="2000" b="1"/>
            <a:t>One-tailed test:</a:t>
          </a:r>
          <a:r>
            <a:rPr lang="en-US" sz="2000"/>
            <a:t> "Is it HIGHER?" or "Is it LOWER?"</a:t>
          </a:r>
        </a:p>
        <a:p>
          <a:r>
            <a:rPr lang="en-US" sz="2000"/>
            <a:t>You only care about one direction</a:t>
          </a:r>
        </a:p>
        <a:p>
          <a:r>
            <a:rPr lang="en-US" sz="2000" b="1"/>
            <a:t>Example (Right-tailed):</a:t>
          </a:r>
          <a:r>
            <a:rPr lang="en-US" sz="2000"/>
            <a:t> "Does this new fertilizer make plants grow TALLER?"</a:t>
          </a:r>
        </a:p>
        <a:p>
          <a:r>
            <a:rPr lang="en-US" sz="2000" b="1"/>
            <a:t>Example (Left-tailed):</a:t>
          </a:r>
          <a:r>
            <a:rPr lang="en-US" sz="2000"/>
            <a:t> "Does this diet pill make weight go DOWN?"</a:t>
          </a:r>
        </a:p>
        <a:p>
          <a:r>
            <a:rPr lang="en-US" sz="2000" b="1"/>
            <a:t>Think of it like:</a:t>
          </a:r>
          <a:endParaRPr lang="en-US" sz="2000"/>
        </a:p>
        <a:p>
          <a:r>
            <a:rPr lang="en-US" sz="2000"/>
            <a:t>Two-tailed = looking both ways before crossing a street</a:t>
          </a:r>
        </a:p>
        <a:p>
          <a:r>
            <a:rPr lang="en-US" sz="2000"/>
            <a:t>One-tailed = only looking in the direction you're walking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7620</xdr:rowOff>
    </xdr:from>
    <xdr:to>
      <xdr:col>16</xdr:col>
      <xdr:colOff>0</xdr:colOff>
      <xdr:row>5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BA5E80-215F-20EE-FB70-763D05D8F4AB}"/>
            </a:ext>
          </a:extLst>
        </xdr:cNvPr>
        <xdr:cNvSpPr txBox="1"/>
      </xdr:nvSpPr>
      <xdr:spPr>
        <a:xfrm>
          <a:off x="7620" y="7620"/>
          <a:ext cx="10454640" cy="1059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Question 5</a:t>
          </a:r>
          <a:r>
            <a:rPr lang="en-US" sz="2000"/>
            <a:t>: A company claims that the average time to resolve a customer complaint is 10 minutes. A random sample of 9 complaints gives an average time of 12 minutes and a standard deviation of 3 minutes. At </a:t>
          </a:r>
          <a:r>
            <a:rPr lang="el-GR" sz="2000"/>
            <a:t>α = 0.05, </a:t>
          </a:r>
          <a:r>
            <a:rPr lang="en-US" sz="2000"/>
            <a:t>test the claim.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289560</xdr:colOff>
      <xdr:row>22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465F22C-3ED6-44CF-A891-F6670C719541}"/>
            </a:ext>
          </a:extLst>
        </xdr:cNvPr>
        <xdr:cNvSpPr txBox="1"/>
      </xdr:nvSpPr>
      <xdr:spPr>
        <a:xfrm>
          <a:off x="0" y="0"/>
          <a:ext cx="10043160" cy="412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Question 6: When do I use Z-test vs t-test?</a:t>
          </a:r>
        </a:p>
        <a:p>
          <a:r>
            <a:rPr lang="en-US" sz="2000" b="1"/>
            <a:t>Simple Rule:</a:t>
          </a:r>
          <a:endParaRPr lang="en-US" sz="2000"/>
        </a:p>
        <a:p>
          <a:r>
            <a:rPr lang="en-US" sz="2000" b="1"/>
            <a:t>Use Z-test when:</a:t>
          </a:r>
          <a:endParaRPr lang="en-US" sz="2000"/>
        </a:p>
        <a:p>
          <a:r>
            <a:rPr lang="en-US" sz="2000"/>
            <a:t>1.</a:t>
          </a:r>
          <a:r>
            <a:rPr lang="en-US" sz="2000" baseline="0"/>
            <a:t> </a:t>
          </a:r>
          <a:r>
            <a:rPr lang="en-US" sz="2000"/>
            <a:t>You have LOTS of data (30+ samples) AND you know the exact population variation</a:t>
          </a:r>
        </a:p>
        <a:p>
          <a:r>
            <a:rPr lang="en-US" sz="2000"/>
            <a:t>2.</a:t>
          </a:r>
          <a:r>
            <a:rPr lang="en-US" sz="2000" baseline="0"/>
            <a:t> </a:t>
          </a:r>
          <a:r>
            <a:rPr lang="en-US" sz="2000"/>
            <a:t>Rare in real life!</a:t>
          </a:r>
        </a:p>
        <a:p>
          <a:r>
            <a:rPr lang="en-US" sz="2000" b="1"/>
            <a:t>Use t-test when:</a:t>
          </a:r>
          <a:endParaRPr lang="en-US" sz="2000"/>
        </a:p>
        <a:p>
          <a:r>
            <a:rPr lang="en-US" sz="2000"/>
            <a:t>1.</a:t>
          </a:r>
          <a:r>
            <a:rPr lang="en-US" sz="2000" baseline="0"/>
            <a:t> </a:t>
          </a:r>
          <a:r>
            <a:rPr lang="en-US" sz="2000"/>
            <a:t>You have SMALL data (less than 30 samples)</a:t>
          </a:r>
        </a:p>
        <a:p>
          <a:r>
            <a:rPr lang="en-US" sz="2000"/>
            <a:t>2.</a:t>
          </a:r>
          <a:r>
            <a:rPr lang="en-US" sz="2000" baseline="0"/>
            <a:t> </a:t>
          </a:r>
          <a:r>
            <a:rPr lang="en-US" sz="2000"/>
            <a:t>You DON'T know the exact population variation (most common!)</a:t>
          </a:r>
        </a:p>
        <a:p>
          <a:r>
            <a:rPr lang="en-US" sz="2000"/>
            <a:t>3.</a:t>
          </a:r>
          <a:r>
            <a:rPr lang="en-US" sz="2000" baseline="0"/>
            <a:t> </a:t>
          </a:r>
          <a:r>
            <a:rPr lang="en-US" sz="2000"/>
            <a:t>This is what you'll use 90% of the time</a:t>
          </a:r>
        </a:p>
        <a:p>
          <a:r>
            <a:rPr lang="en-US" sz="2000" b="1"/>
            <a:t>Think of it this way:</a:t>
          </a:r>
          <a:endParaRPr lang="en-US" sz="2000"/>
        </a:p>
        <a:p>
          <a:r>
            <a:rPr lang="en-US" sz="2000"/>
            <a:t>Z-test = perfect world (you know everything)</a:t>
          </a:r>
        </a:p>
        <a:p>
          <a:r>
            <a:rPr lang="en-US" sz="2000"/>
            <a:t>t-test = real world (you're working with limited info)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8C3A-C6B5-4775-9629-055A2465A23C}">
  <dimension ref="A1"/>
  <sheetViews>
    <sheetView workbookViewId="0">
      <selection activeCell="C25" sqref="C2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CFA5-9E6F-493E-A457-3AFB82A77422}">
  <dimension ref="A1"/>
  <sheetViews>
    <sheetView workbookViewId="0">
      <selection activeCell="F29" sqref="F2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7121-0184-4B5D-B013-BBCDB4E81141}">
  <dimension ref="A1"/>
  <sheetViews>
    <sheetView workbookViewId="0">
      <selection activeCell="G26" sqref="G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FBD0-34B3-4121-9880-B7A122B44154}">
  <dimension ref="A1"/>
  <sheetViews>
    <sheetView workbookViewId="0">
      <selection activeCell="J27" sqref="J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CF28-A3ED-474E-9E0C-12EAB75A57F5}">
  <dimension ref="A8:B19"/>
  <sheetViews>
    <sheetView workbookViewId="0">
      <selection activeCell="G28" sqref="G28"/>
    </sheetView>
  </sheetViews>
  <sheetFormatPr defaultRowHeight="14.4" x14ac:dyDescent="0.3"/>
  <cols>
    <col min="1" max="1" width="19.21875" bestFit="1" customWidth="1"/>
    <col min="2" max="2" width="9.5546875" bestFit="1" customWidth="1"/>
  </cols>
  <sheetData>
    <row r="8" spans="1:2" x14ac:dyDescent="0.3">
      <c r="A8" t="s">
        <v>0</v>
      </c>
      <c r="B8">
        <v>12</v>
      </c>
    </row>
    <row r="9" spans="1:2" x14ac:dyDescent="0.3">
      <c r="A9" t="s">
        <v>1</v>
      </c>
      <c r="B9">
        <v>10</v>
      </c>
    </row>
    <row r="10" spans="1:2" x14ac:dyDescent="0.3">
      <c r="A10" t="s">
        <v>2</v>
      </c>
      <c r="B10">
        <v>3</v>
      </c>
    </row>
    <row r="11" spans="1:2" x14ac:dyDescent="0.3">
      <c r="A11" t="s">
        <v>3</v>
      </c>
      <c r="B11">
        <v>9</v>
      </c>
    </row>
    <row r="12" spans="1:2" x14ac:dyDescent="0.3">
      <c r="A12" t="s">
        <v>4</v>
      </c>
      <c r="B12">
        <v>0.05</v>
      </c>
    </row>
    <row r="14" spans="1:2" x14ac:dyDescent="0.3">
      <c r="A14" t="s">
        <v>5</v>
      </c>
      <c r="B14">
        <f>B10/SQRT(B11)</f>
        <v>1</v>
      </c>
    </row>
    <row r="15" spans="1:2" x14ac:dyDescent="0.3">
      <c r="A15" t="s">
        <v>6</v>
      </c>
      <c r="B15">
        <f>(B8-B9)/B14</f>
        <v>2</v>
      </c>
    </row>
    <row r="16" spans="1:2" x14ac:dyDescent="0.3">
      <c r="A16" t="s">
        <v>7</v>
      </c>
      <c r="B16">
        <f>B11-1</f>
        <v>8</v>
      </c>
    </row>
    <row r="17" spans="1:2" x14ac:dyDescent="0.3">
      <c r="A17" t="s">
        <v>8</v>
      </c>
      <c r="B17">
        <f>_xlfn.T.INV.2T(B12,B16)</f>
        <v>2.3060041352041671</v>
      </c>
    </row>
    <row r="18" spans="1:2" x14ac:dyDescent="0.3">
      <c r="A18" t="s">
        <v>9</v>
      </c>
      <c r="B18" s="1">
        <f>_xlfn.T.DIST.2T(ABS(B15),B16)</f>
        <v>8.0516237957262621E-2</v>
      </c>
    </row>
    <row r="19" spans="1:2" x14ac:dyDescent="0.3">
      <c r="A19" t="s">
        <v>10</v>
      </c>
      <c r="B19" t="str">
        <f>IF(B18&lt;B12,"Company is lying","Can't prove they're lying")</f>
        <v>Can't prove they're lying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AC1D-9B34-4F16-8DB2-48C0DA35314A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C315-EF4C-421E-AE77-BCA9B90D54BC}">
  <dimension ref="A1:G10"/>
  <sheetViews>
    <sheetView workbookViewId="0">
      <selection activeCell="L8" sqref="L8"/>
    </sheetView>
  </sheetViews>
  <sheetFormatPr defaultRowHeight="14.4" x14ac:dyDescent="0.3"/>
  <cols>
    <col min="1" max="1" width="9" bestFit="1" customWidth="1"/>
    <col min="2" max="2" width="6.5546875" bestFit="1" customWidth="1"/>
    <col min="3" max="3" width="5.109375" bestFit="1" customWidth="1"/>
    <col min="4" max="4" width="12" bestFit="1" customWidth="1"/>
    <col min="6" max="6" width="19.21875" bestFit="1" customWidth="1"/>
    <col min="7" max="7" width="16.6640625" bestFit="1" customWidth="1"/>
  </cols>
  <sheetData>
    <row r="1" spans="1:7" ht="25.8" x14ac:dyDescent="0.5">
      <c r="A1" s="4" t="s">
        <v>11</v>
      </c>
    </row>
    <row r="3" spans="1:7" x14ac:dyDescent="0.3">
      <c r="A3" s="6" t="s">
        <v>12</v>
      </c>
      <c r="B3" s="6" t="s">
        <v>13</v>
      </c>
      <c r="C3" s="6" t="s">
        <v>14</v>
      </c>
      <c r="D3" s="6" t="s">
        <v>15</v>
      </c>
      <c r="F3" s="7" t="s">
        <v>16</v>
      </c>
      <c r="G3" s="7">
        <f>AVERAGE(D4:D9)</f>
        <v>-3</v>
      </c>
    </row>
    <row r="4" spans="1:7" x14ac:dyDescent="0.3">
      <c r="A4" s="6">
        <v>1</v>
      </c>
      <c r="B4" s="6">
        <v>50</v>
      </c>
      <c r="C4" s="6">
        <v>55</v>
      </c>
      <c r="D4" s="6">
        <f>B4-C4</f>
        <v>-5</v>
      </c>
      <c r="F4" s="7" t="s">
        <v>17</v>
      </c>
      <c r="G4" s="7">
        <f>_xlfn.STDEV.S(D4:D9)</f>
        <v>1.7888543819998317</v>
      </c>
    </row>
    <row r="5" spans="1:7" x14ac:dyDescent="0.3">
      <c r="A5" s="6">
        <v>2</v>
      </c>
      <c r="B5" s="6">
        <v>60</v>
      </c>
      <c r="C5" s="6">
        <v>65</v>
      </c>
      <c r="D5" s="6">
        <f t="shared" ref="D5:D9" si="0">B5-C5</f>
        <v>-5</v>
      </c>
      <c r="F5" s="7" t="s">
        <v>18</v>
      </c>
      <c r="G5" s="7">
        <v>6</v>
      </c>
    </row>
    <row r="6" spans="1:7" x14ac:dyDescent="0.3">
      <c r="A6" s="6">
        <v>3</v>
      </c>
      <c r="B6" s="6">
        <v>58</v>
      </c>
      <c r="C6" s="6">
        <v>59</v>
      </c>
      <c r="D6" s="6">
        <f t="shared" si="0"/>
        <v>-1</v>
      </c>
      <c r="F6" s="7" t="s">
        <v>19</v>
      </c>
      <c r="G6" s="7">
        <f>G4/SQRT(G5)</f>
        <v>0.73029674334022154</v>
      </c>
    </row>
    <row r="7" spans="1:7" x14ac:dyDescent="0.3">
      <c r="A7" s="6">
        <v>4</v>
      </c>
      <c r="B7" s="6">
        <v>55</v>
      </c>
      <c r="C7" s="6">
        <v>58</v>
      </c>
      <c r="D7" s="6">
        <f t="shared" si="0"/>
        <v>-3</v>
      </c>
      <c r="F7" s="7" t="s">
        <v>20</v>
      </c>
      <c r="G7" s="7">
        <f>G3/G6</f>
        <v>-4.1079191812887457</v>
      </c>
    </row>
    <row r="8" spans="1:7" x14ac:dyDescent="0.3">
      <c r="A8" s="6">
        <v>5</v>
      </c>
      <c r="B8" s="6">
        <v>62</v>
      </c>
      <c r="C8" s="6">
        <v>63</v>
      </c>
      <c r="D8" s="6">
        <f t="shared" si="0"/>
        <v>-1</v>
      </c>
      <c r="F8" s="7" t="s">
        <v>21</v>
      </c>
      <c r="G8" s="7">
        <f>G5-1</f>
        <v>5</v>
      </c>
    </row>
    <row r="9" spans="1:7" x14ac:dyDescent="0.3">
      <c r="A9" s="6">
        <v>6</v>
      </c>
      <c r="B9" s="6">
        <v>56</v>
      </c>
      <c r="C9" s="6">
        <v>59</v>
      </c>
      <c r="D9" s="6">
        <f t="shared" si="0"/>
        <v>-3</v>
      </c>
      <c r="F9" s="7" t="s">
        <v>9</v>
      </c>
      <c r="G9" s="7">
        <f>_xlfn.T.DIST.RT(G7,G8)</f>
        <v>0.99535864748263103</v>
      </c>
    </row>
    <row r="10" spans="1:7" x14ac:dyDescent="0.3">
      <c r="F10" s="7" t="s">
        <v>22</v>
      </c>
      <c r="G10" s="7" t="str">
        <f>IF(G9&lt;0.05,"YES! Training worked!","No proof it worked")</f>
        <v>No proof it worked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310B-8946-4E8D-9D13-9E6BD009510A}">
  <dimension ref="A1:H26"/>
  <sheetViews>
    <sheetView tabSelected="1" workbookViewId="0">
      <selection activeCell="H27" sqref="H27"/>
    </sheetView>
  </sheetViews>
  <sheetFormatPr defaultRowHeight="14.4" x14ac:dyDescent="0.3"/>
  <cols>
    <col min="1" max="1" width="10.109375" customWidth="1"/>
    <col min="2" max="2" width="10.88671875" bestFit="1" customWidth="1"/>
    <col min="3" max="3" width="10.77734375" bestFit="1" customWidth="1"/>
    <col min="4" max="4" width="6.44140625" bestFit="1" customWidth="1"/>
    <col min="8" max="8" width="12" bestFit="1" customWidth="1"/>
  </cols>
  <sheetData>
    <row r="1" spans="1:8" ht="25.8" x14ac:dyDescent="0.5">
      <c r="A1" s="4" t="s">
        <v>23</v>
      </c>
    </row>
    <row r="2" spans="1:8" ht="14.4" customHeight="1" x14ac:dyDescent="0.5">
      <c r="A2" s="4"/>
    </row>
    <row r="3" spans="1:8" ht="18" x14ac:dyDescent="0.35">
      <c r="A3" s="3" t="s">
        <v>30</v>
      </c>
    </row>
    <row r="4" spans="1:8" x14ac:dyDescent="0.3">
      <c r="A4" s="8" t="s">
        <v>24</v>
      </c>
      <c r="B4" s="8" t="s">
        <v>25</v>
      </c>
      <c r="C4" s="8" t="s">
        <v>26</v>
      </c>
      <c r="D4" s="8" t="s">
        <v>27</v>
      </c>
    </row>
    <row r="5" spans="1:8" x14ac:dyDescent="0.3">
      <c r="A5" s="5" t="s">
        <v>28</v>
      </c>
      <c r="B5" s="5">
        <v>30</v>
      </c>
      <c r="C5" s="5">
        <v>20</v>
      </c>
      <c r="D5" s="5">
        <v>50</v>
      </c>
    </row>
    <row r="6" spans="1:8" x14ac:dyDescent="0.3">
      <c r="A6" s="5" t="s">
        <v>29</v>
      </c>
      <c r="B6" s="5">
        <v>10</v>
      </c>
      <c r="C6" s="5">
        <v>40</v>
      </c>
      <c r="D6" s="5">
        <v>50</v>
      </c>
    </row>
    <row r="7" spans="1:8" x14ac:dyDescent="0.3">
      <c r="A7" s="5" t="s">
        <v>27</v>
      </c>
      <c r="B7" s="5">
        <v>40</v>
      </c>
      <c r="C7" s="5">
        <v>60</v>
      </c>
      <c r="D7" s="5">
        <v>100</v>
      </c>
    </row>
    <row r="9" spans="1:8" ht="18" x14ac:dyDescent="0.35">
      <c r="A9" s="3" t="s">
        <v>31</v>
      </c>
    </row>
    <row r="10" spans="1:8" x14ac:dyDescent="0.3">
      <c r="A10" s="8" t="s">
        <v>24</v>
      </c>
      <c r="B10" s="8" t="s">
        <v>25</v>
      </c>
      <c r="C10" s="8" t="s">
        <v>26</v>
      </c>
      <c r="D10" s="8" t="s">
        <v>27</v>
      </c>
    </row>
    <row r="11" spans="1:8" x14ac:dyDescent="0.3">
      <c r="A11" s="5" t="s">
        <v>28</v>
      </c>
      <c r="B11" s="5">
        <v>20</v>
      </c>
      <c r="C11" s="5">
        <v>30</v>
      </c>
      <c r="D11" s="5">
        <v>50</v>
      </c>
    </row>
    <row r="12" spans="1:8" x14ac:dyDescent="0.3">
      <c r="A12" s="5" t="s">
        <v>29</v>
      </c>
      <c r="B12" s="5">
        <v>20</v>
      </c>
      <c r="C12" s="5">
        <v>30</v>
      </c>
      <c r="D12" s="5">
        <v>50</v>
      </c>
    </row>
    <row r="13" spans="1:8" x14ac:dyDescent="0.3">
      <c r="A13" s="5" t="s">
        <v>27</v>
      </c>
      <c r="B13" s="5">
        <v>40</v>
      </c>
      <c r="C13" s="5">
        <v>60</v>
      </c>
      <c r="D13" s="5">
        <v>100</v>
      </c>
    </row>
    <row r="15" spans="1:8" ht="18" x14ac:dyDescent="0.35">
      <c r="F15" s="3" t="s">
        <v>32</v>
      </c>
    </row>
    <row r="16" spans="1:8" ht="15.6" x14ac:dyDescent="0.3">
      <c r="A16" s="2"/>
      <c r="F16" t="s">
        <v>33</v>
      </c>
      <c r="H16">
        <f>(B5-B11)^2/B11</f>
        <v>5</v>
      </c>
    </row>
    <row r="17" spans="6:8" x14ac:dyDescent="0.3">
      <c r="F17" t="s">
        <v>34</v>
      </c>
      <c r="H17">
        <f>(C5-C11)^2/C11</f>
        <v>3.3333333333333335</v>
      </c>
    </row>
    <row r="18" spans="6:8" x14ac:dyDescent="0.3">
      <c r="F18" t="s">
        <v>35</v>
      </c>
      <c r="H18">
        <f>(B6-B12)^2/B12</f>
        <v>5</v>
      </c>
    </row>
    <row r="19" spans="6:8" x14ac:dyDescent="0.3">
      <c r="F19" t="s">
        <v>36</v>
      </c>
      <c r="H19">
        <f>(C6-C12)^2/C12</f>
        <v>3.3333333333333335</v>
      </c>
    </row>
    <row r="21" spans="6:8" x14ac:dyDescent="0.3">
      <c r="F21" t="s">
        <v>37</v>
      </c>
      <c r="H21">
        <f>SUM(H16:H19)</f>
        <v>16.666666666666668</v>
      </c>
    </row>
    <row r="23" spans="6:8" x14ac:dyDescent="0.3">
      <c r="F23" t="s">
        <v>38</v>
      </c>
      <c r="H23">
        <f>(2-1)*(2-1)</f>
        <v>1</v>
      </c>
    </row>
    <row r="24" spans="6:8" x14ac:dyDescent="0.3">
      <c r="F24" t="s">
        <v>39</v>
      </c>
      <c r="H24">
        <f>_xlfn.CHISQ.INV.RT(0.05,H23)</f>
        <v>3.8414588206941236</v>
      </c>
    </row>
    <row r="25" spans="6:8" x14ac:dyDescent="0.3">
      <c r="F25" t="s">
        <v>9</v>
      </c>
      <c r="H25">
        <f>_xlfn.CHISQ.DIST.RT(H21,H23)</f>
        <v>4.4557090604056044E-5</v>
      </c>
    </row>
    <row r="26" spans="6:8" x14ac:dyDescent="0.3">
      <c r="F26" t="s">
        <v>22</v>
      </c>
      <c r="H26" t="str">
        <f>IF(H25&lt;0.05,"Reject H₀","Fail to Reject H₀")</f>
        <v>Reject H₀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Ayush Singh</cp:lastModifiedBy>
  <dcterms:created xsi:type="dcterms:W3CDTF">2026-01-17T18:56:51Z</dcterms:created>
  <dcterms:modified xsi:type="dcterms:W3CDTF">2026-01-17T19:57:22Z</dcterms:modified>
</cp:coreProperties>
</file>